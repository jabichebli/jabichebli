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ural and Forced Convection C" sheetId="1" r:id="rId4"/>
    <sheet state="visible" name="Solution 7" sheetId="2" r:id="rId5"/>
    <sheet state="visible" name="Heat Break Performance" sheetId="3" r:id="rId6"/>
    <sheet state="visible" name="Solution 0" sheetId="4" r:id="rId7"/>
    <sheet state="visible" name="Solution 1" sheetId="5" r:id="rId8"/>
    <sheet state="visible" name="Solution 2" sheetId="6" r:id="rId9"/>
    <sheet state="visible" name="Solution 3" sheetId="7" r:id="rId10"/>
    <sheet state="visible" name="Solution 4" sheetId="8" r:id="rId11"/>
    <sheet state="visible" name="Solution 5" sheetId="9" r:id="rId12"/>
    <sheet state="visible" name="Solution 6" sheetId="10" r:id="rId13"/>
    <sheet state="visible" name="Solution 8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7">
      <text>
        <t xml:space="preserve">Should be: 0.00038132
	-Jason Abi Chebli</t>
      </text>
    </comment>
    <comment authorId="0" ref="C46">
      <text>
        <t xml:space="preserve">Extrapolated from Table A.4 Thermo Notes
	-Jason Abi Chebli</t>
      </text>
    </comment>
    <comment authorId="0" ref="C45">
      <text>
        <t xml:space="preserve">Extrapolated from Table A.4 Thermo Notes
	-Jason Abi Chebli</t>
      </text>
    </comment>
    <comment authorId="0" ref="C44">
      <text>
        <t xml:space="preserve">Extrapolated from Table A.4 Thermo Notes
	-Jason Abi Chebli</t>
      </text>
    </comment>
    <comment authorId="0" ref="C43">
      <text>
        <t xml:space="preserve">Extrapolated from Table A.4 Thermo Notes
	-Jason Abi Chebli</t>
      </text>
    </comment>
    <comment authorId="0" ref="C42">
      <text>
        <t xml:space="preserve">Extrapolated from Table A.4 Thermo Notes
	-Jason Abi Chebli</t>
      </text>
    </comment>
    <comment authorId="0" ref="A1">
      <text>
        <t xml:space="preserve">Extrapolated from values in Table A.4 from Thermo Notes
	-Jason Abi Chebli</t>
      </text>
    </comment>
    <comment authorId="0" ref="G18">
      <text>
        <t xml:space="preserve">According to table A.4: Pr = 0.7083 at 22 deg Celcisu
	-Jason Abi Chebli
Should be 0.6902 at 399K
	-Jason Abi Chebli</t>
      </text>
    </comment>
    <comment authorId="0" ref="C40">
      <text>
        <t xml:space="preserve">At 22degC
Source: https://www.engineeringtoolbox.com/air-absolute-kinematic-viscosity-d_601.html
	-Jason Abi Chebli</t>
      </text>
    </comment>
    <comment authorId="0" ref="C39">
      <text>
        <t xml:space="preserve">at 22deg C
Source: https://www.engineeringtoolbox.com/air-specific-heat-capacity-d_705.html
	-Jason Abi Chebli</t>
      </text>
    </comment>
    <comment authorId="0" ref="C37">
      <text>
        <t xml:space="preserve">From ANSYS
	-Jason Abi Chebli</t>
      </text>
    </comment>
    <comment authorId="0" ref="C38">
      <text>
        <t xml:space="preserve">At 22deg C
Source: https://www.engineeringtoolbox.com/air-density-specific-weight-d_600.html
	-Jason Abi Chebli</t>
      </text>
    </comment>
    <comment authorId="0" ref="C36">
      <text>
        <t xml:space="preserve">At 22deg C.
Source: https://www.engineeringtoolbox.com/air-absolute-kinematic-viscosity-d_601.html
	-Jason Abi Chebli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Top of heat block
	-Jason Abi Chebli
assume same h value for all free/natural convection
	-Jason Abi Chebli</t>
      </text>
    </comment>
    <comment authorId="0" ref="C29">
      <text>
        <t xml:space="preserve">Equation 7.46 from Table 7.9
	-Jason Abi Chebli</t>
      </text>
    </comment>
    <comment authorId="0" ref="C14">
      <text>
        <t xml:space="preserve">From ANSYS
	-Jason Abi Chebli</t>
      </text>
    </comment>
    <comment authorId="0" ref="C16">
      <text>
        <t xml:space="preserve">at 22deg C
Source: https://www.engineeringtoolbox.com/air-specific-heat-capacity-d_705.html
	-Jason Abi Chebli</t>
      </text>
    </comment>
    <comment authorId="0" ref="C15">
      <text>
        <t xml:space="preserve">At 22deg C
Source: https://www.engineeringtoolbox.com/air-density-specific-weight-d_600.html
	-Jason Abi Chebli</t>
      </text>
    </comment>
    <comment authorId="0" ref="C23">
      <text>
        <t xml:space="preserve">At 22degC
Source: https://www.engineeringtoolbox.com/air-absolute-kinematic-viscosity-d_601.html
	-Jason Abi Chebli</t>
      </text>
    </comment>
    <comment authorId="0" ref="C13">
      <text>
        <t xml:space="preserve">At 22deg C.
Source: https://www.engineeringtoolbox.com/air-absolute-kinematic-viscosity-d_601.html
	-Jason Abi Chebli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https://www.researchgate.net/publication/319486459_Mathematical_Modelling_Pressure_Drop_Analysis_of_Fused_Deposition_Modelling_Feed_Wire/figures?lo=1
	-Jason Abi Chebli</t>
      </text>
    </comment>
    <comment authorId="0" ref="C16">
      <text>
        <t xml:space="preserve">https://plasticranger.com/density-of-pla-plastic/#:~:text=PLA%20density%20is%201.25%20g,cm3%20and%201240%20kg%2Fm3.
	-Jason Abi Chebli</t>
      </text>
    </comment>
  </commentList>
</comments>
</file>

<file path=xl/sharedStrings.xml><?xml version="1.0" encoding="utf-8"?>
<sst xmlns="http://schemas.openxmlformats.org/spreadsheetml/2006/main" count="5213" uniqueCount="476">
  <si>
    <t>Initial Inputs</t>
  </si>
  <si>
    <t>Forced Convection around Heat Sink</t>
  </si>
  <si>
    <t>Free/Natural Convection at Nozzle</t>
  </si>
  <si>
    <t>Free/Natural Convection at Top of Heat Block</t>
  </si>
  <si>
    <t xml:space="preserve">Final Values for Convection Heat Transfer Coefficients </t>
  </si>
  <si>
    <t>Name</t>
  </si>
  <si>
    <t>Units</t>
  </si>
  <si>
    <t>Value</t>
  </si>
  <si>
    <t>Fan Details</t>
  </si>
  <si>
    <t>Calculate AIrflow Rate</t>
  </si>
  <si>
    <t>Calculate Grashof's Number</t>
  </si>
  <si>
    <t>Convective Heat Transfer Coefficient</t>
  </si>
  <si>
    <t>Fan Airflow</t>
  </si>
  <si>
    <t>m^3/h</t>
  </si>
  <si>
    <t xml:space="preserve">Fan Airflow </t>
  </si>
  <si>
    <t>m^3/s</t>
  </si>
  <si>
    <t>Gravitational Acceleration (g)</t>
  </si>
  <si>
    <t>m/s^2</t>
  </si>
  <si>
    <t>Natural Air at top of heat block</t>
  </si>
  <si>
    <t>W/m^2K</t>
  </si>
  <si>
    <t>Fan Diameter</t>
  </si>
  <si>
    <t>mm</t>
  </si>
  <si>
    <t>m</t>
  </si>
  <si>
    <t>Surface Temperature (Ts)</t>
  </si>
  <si>
    <t>K</t>
  </si>
  <si>
    <t>Natural Air at bottom of nozzle</t>
  </si>
  <si>
    <t>Length of gap</t>
  </si>
  <si>
    <t>Area of the fan</t>
  </si>
  <si>
    <t>m^2</t>
  </si>
  <si>
    <t>Ambient Temperature (Tinfinity)</t>
  </si>
  <si>
    <t>Forced Air (from Fan)</t>
  </si>
  <si>
    <t>Width of gap</t>
  </si>
  <si>
    <t>Volume Exansion Coefficient (beta)</t>
  </si>
  <si>
    <t>Number of rectangular gaps</t>
  </si>
  <si>
    <t>dimensonless</t>
  </si>
  <si>
    <t>Inner Radius</t>
  </si>
  <si>
    <t>Width of hotend</t>
  </si>
  <si>
    <t>Nozzle Properties (Assumed to be modeled as a cylinder)</t>
  </si>
  <si>
    <t>Total area of gaps</t>
  </si>
  <si>
    <t>Outer Radius</t>
  </si>
  <si>
    <t>Depth of hotend</t>
  </si>
  <si>
    <t>Airflow rate</t>
  </si>
  <si>
    <t>m/s</t>
  </si>
  <si>
    <t>Length</t>
  </si>
  <si>
    <t>Heatbreak Outer Radius of Neck</t>
  </si>
  <si>
    <t>C</t>
  </si>
  <si>
    <t>Calculate Prandtl's Number</t>
  </si>
  <si>
    <t>Cross-sectional Area (A)</t>
  </si>
  <si>
    <t>Air Kinematic Viscosity (nu)</t>
  </si>
  <si>
    <t>m^2/s</t>
  </si>
  <si>
    <t>Perimeter (P)</t>
  </si>
  <si>
    <t>Air Thermal Conductivity (k)</t>
  </si>
  <si>
    <t>W/mK</t>
  </si>
  <si>
    <t>Critical Length (Lc)</t>
  </si>
  <si>
    <t>Air Density (rho)</t>
  </si>
  <si>
    <t>kg/m^3</t>
  </si>
  <si>
    <t>Air Specific Heat Coefficient (cp)</t>
  </si>
  <si>
    <t>J/kg K</t>
  </si>
  <si>
    <t>Grashof's Number (Gr)</t>
  </si>
  <si>
    <t>Dimensionless</t>
  </si>
  <si>
    <t>Heat Block Properties (Assumed to be modeled as a flat plate)</t>
  </si>
  <si>
    <t>Air Thermal Diffusivity (alpha)</t>
  </si>
  <si>
    <t>Prandtl's Number (Pr)</t>
  </si>
  <si>
    <t>Calculate Reynold's Number</t>
  </si>
  <si>
    <t>Thermal Conductivity (k)</t>
  </si>
  <si>
    <t>Width</t>
  </si>
  <si>
    <t>Velocity (U)</t>
  </si>
  <si>
    <t>Specific Heat Coefficient (cp)</t>
  </si>
  <si>
    <t>Depth</t>
  </si>
  <si>
    <t>Characteristic length (i.e Diameter of the heatsink)</t>
  </si>
  <si>
    <t>Dynamic viscosity (mu)</t>
  </si>
  <si>
    <t>kg/ms</t>
  </si>
  <si>
    <t>Reynold's Number (Re)</t>
  </si>
  <si>
    <t>Calculate Rayleigh's Number</t>
  </si>
  <si>
    <t>Heat Sink Dimensions (Modelled as Cylinder)</t>
  </si>
  <si>
    <t>Calculate the Nussult Number</t>
  </si>
  <si>
    <t>Rayleighs's Number (Ra)</t>
  </si>
  <si>
    <t>Assumptions</t>
  </si>
  <si>
    <t>Middle Radius</t>
  </si>
  <si>
    <t>Geometry:</t>
  </si>
  <si>
    <t>Cylinder</t>
  </si>
  <si>
    <t>Condition:</t>
  </si>
  <si>
    <t>Average, T_film,Re_D*Pr&gt;= 0.2</t>
  </si>
  <si>
    <t>Long Horizontal Cylinder</t>
  </si>
  <si>
    <t>Vertical Plate</t>
  </si>
  <si>
    <t>Length for Each Fin</t>
  </si>
  <si>
    <t>Nussult Number (Nu)</t>
  </si>
  <si>
    <t>Formula</t>
  </si>
  <si>
    <t>Churchill and Chu Correlation</t>
  </si>
  <si>
    <t xml:space="preserve">Churchill and Chu Correlation for Ra &lt;= 10^9 </t>
  </si>
  <si>
    <t>Length for Each Gap</t>
  </si>
  <si>
    <t>Calculate the Heat Transfer Coefficient</t>
  </si>
  <si>
    <t>Film Temperature</t>
  </si>
  <si>
    <t>Characteristic length (i.e Outer Diameter of the Nozzle)</t>
  </si>
  <si>
    <t>Length (L)</t>
  </si>
  <si>
    <t>Convection Heat Transfer Coefficient (h)</t>
  </si>
  <si>
    <t>Air Properties at 22C OR 295K</t>
  </si>
  <si>
    <t>kJ/kg K</t>
  </si>
  <si>
    <t>Air Properties at Film Temperature 126C OR 399K</t>
  </si>
  <si>
    <t>Individiual Resistance</t>
  </si>
  <si>
    <t>Total Resistance</t>
  </si>
  <si>
    <t>Temperature at Different Points</t>
  </si>
  <si>
    <t>Final Values Summary</t>
  </si>
  <si>
    <t>Initial Temperatures</t>
  </si>
  <si>
    <t>Total Resistance through the Bottom</t>
  </si>
  <si>
    <t>Temperature at Bottom of Nozzle</t>
  </si>
  <si>
    <t>Heat Balance</t>
  </si>
  <si>
    <t xml:space="preserve">Temperature of the Heater Cartridge </t>
  </si>
  <si>
    <t>In Series Convection and Conduction of Nozzle</t>
  </si>
  <si>
    <t>In Series Convection and Conduction of Nozzle outside heatblock</t>
  </si>
  <si>
    <t>K/W</t>
  </si>
  <si>
    <t>Temperature of the Ambient Air</t>
  </si>
  <si>
    <t>Total Heat In</t>
  </si>
  <si>
    <t>W</t>
  </si>
  <si>
    <t>Temperature of the Ambient AIr</t>
  </si>
  <si>
    <t>In Parallel Conduction of Brass and Aluminium in Bottom Section of Heat Block</t>
  </si>
  <si>
    <t>Natural Convective Nozzle Resistance Outside of Heat Block</t>
  </si>
  <si>
    <t>Total Heat Out through Bottom</t>
  </si>
  <si>
    <t>Thermal Conductivity</t>
  </si>
  <si>
    <t>Natural Convection Resistance between Nozzle and Ambient Air</t>
  </si>
  <si>
    <t>Total Bottom Resistance</t>
  </si>
  <si>
    <t>Total Bottom Heat Out</t>
  </si>
  <si>
    <t>Total Heat Out through Top</t>
  </si>
  <si>
    <t xml:space="preserve">Alumnium </t>
  </si>
  <si>
    <t>Natural Convective Bottom Air Heat Transfer Coefficient</t>
  </si>
  <si>
    <t>Total Resistance through the Top</t>
  </si>
  <si>
    <t>Bottom of Nozzle Temperature</t>
  </si>
  <si>
    <t>Total Heat Out through Filament</t>
  </si>
  <si>
    <t>Brass</t>
  </si>
  <si>
    <t>In Parallel Conduction of Brass and Aluminium in Middle Section of Heat Block</t>
  </si>
  <si>
    <t>Temperature at Bottom of Heat Block</t>
  </si>
  <si>
    <t>Check</t>
  </si>
  <si>
    <t>Stainless Steel</t>
  </si>
  <si>
    <t>In Parallel Conduction of Steel and Aluminium in Top Section of Heat Block</t>
  </si>
  <si>
    <t>Area of nozzle</t>
  </si>
  <si>
    <t>In Parallel Conduction of Steel and Convection through neck of Heat Break 1</t>
  </si>
  <si>
    <t>Conductive Nozzle Resistance Outside of Heat Block</t>
  </si>
  <si>
    <t>In Parallel Conduction of Steel and Convection through neck of Heat Break 2</t>
  </si>
  <si>
    <t>Temperature Values</t>
  </si>
  <si>
    <t>Cylindrical Conduction Resistance of Nozzle</t>
  </si>
  <si>
    <t>In Parallel Conduction of Steel and Convection through neck of Heat Break 3</t>
  </si>
  <si>
    <t>Bottom of Heat Block Temperature</t>
  </si>
  <si>
    <t>Ambient Temperature</t>
  </si>
  <si>
    <t>In Parallel Conduction of Steel and Convection through neck of Heat Break 4</t>
  </si>
  <si>
    <t>PLA Properties</t>
  </si>
  <si>
    <t>In Parallel Conduction of Steel and Convection through neck of Heat Break 5</t>
  </si>
  <si>
    <t>Temperature at Top of Heat Sink - TF24</t>
  </si>
  <si>
    <t>Density of PLA</t>
  </si>
  <si>
    <t>In Parallel Conduction of Steel and Aluminium through each Fin 1</t>
  </si>
  <si>
    <t>Heater Cartridge Temperature</t>
  </si>
  <si>
    <t>Estimated Volumetric Flow Rate of PLA</t>
  </si>
  <si>
    <t>mm^3/s</t>
  </si>
  <si>
    <t>Thermal Conducitvity of Brass</t>
  </si>
  <si>
    <t>In Parallel Condunction of Steel and Aluminium and Convection through Gap 1</t>
  </si>
  <si>
    <t>Heat Sink Resistance per Gap for top 6</t>
  </si>
  <si>
    <t>Bottom of Heat Break Temperature</t>
  </si>
  <si>
    <t>Specific Heat Capacity of PLA</t>
  </si>
  <si>
    <t>J/kgK</t>
  </si>
  <si>
    <t>In Parallel Conduction of Steel and Aluminium through each Fin 2</t>
  </si>
  <si>
    <t>Total Top Heat Out</t>
  </si>
  <si>
    <t>Top of Heat Block Temperature</t>
  </si>
  <si>
    <t>Temperature of unheated PLA</t>
  </si>
  <si>
    <t>In Parallel Condunction of Steel and Aluminium and Convection through Gap 2</t>
  </si>
  <si>
    <t>Top of Heat Sink Temperature - TF24</t>
  </si>
  <si>
    <t xml:space="preserve">THB 2 </t>
  </si>
  <si>
    <t>Temperature of heated PLA</t>
  </si>
  <si>
    <t>In Parallel Conduction of Steel and Aluminium through each Fin 3</t>
  </si>
  <si>
    <t>THB 3</t>
  </si>
  <si>
    <t>In Parallel Condunction of Steel and Aluminium and Convection through Gap 3</t>
  </si>
  <si>
    <t>Temperature of all the Fins</t>
  </si>
  <si>
    <t>THB 4</t>
  </si>
  <si>
    <t>Dimensions</t>
  </si>
  <si>
    <t>In Parallel Conduction of Steel and Aluminium through each Fin 4</t>
  </si>
  <si>
    <t>Heat Sink Resistance per Fin for Top 5</t>
  </si>
  <si>
    <t>THB 5</t>
  </si>
  <si>
    <t>Cylindrical Conduction Resistance of Brass in Heat Block</t>
  </si>
  <si>
    <t>In Parallel Condunction of Steel and Aluminium and Convection through Gap 4</t>
  </si>
  <si>
    <t>Heat Sink Resistance per Gap for Top 6</t>
  </si>
  <si>
    <t>TF1 -  Bottom of Heat Sink</t>
  </si>
  <si>
    <t>In Parallel Conduction of Steel and Aluminium through each Fin 5</t>
  </si>
  <si>
    <t>Heat Sink Resistance per Fin for Top 7</t>
  </si>
  <si>
    <t>TF2</t>
  </si>
  <si>
    <t>Nozzle Dimensions Outside of Heat Block (Modelled as Cylinder)</t>
  </si>
  <si>
    <t>In Parallel Condunction of Steel and Aluminium and Convection through Gap 5</t>
  </si>
  <si>
    <t>TF3</t>
  </si>
  <si>
    <t>Length of bottom section</t>
  </si>
  <si>
    <t>In Parallel Conduction of Steel and Aluminium through each Fin 6</t>
  </si>
  <si>
    <t>TF4</t>
  </si>
  <si>
    <t>In Parallel Condunction of Steel and Aluminium and Convection through Gap 6</t>
  </si>
  <si>
    <t>TF5</t>
  </si>
  <si>
    <t>Conductive Brass Resistance in Bottom Section Heat Block</t>
  </si>
  <si>
    <t>In Parallel Conduction of Steel and Aluminium through each Fin 7</t>
  </si>
  <si>
    <t>TF23</t>
  </si>
  <si>
    <t>F12</t>
  </si>
  <si>
    <t>TF6</t>
  </si>
  <si>
    <t>Nozzle Dimensions Inside of Heat Block (Modelled as Cylindrer)</t>
  </si>
  <si>
    <t>Flat Plate Conduction Resistance of aluminium bottom half of heat block</t>
  </si>
  <si>
    <t>In Parallel Conduction of Aluminium and Convection through the Gap 7</t>
  </si>
  <si>
    <t>TF22</t>
  </si>
  <si>
    <t>TF7</t>
  </si>
  <si>
    <t>Thermal Conducitvity of Aluminium</t>
  </si>
  <si>
    <t>Conduction of Aluminium through Fin 8</t>
  </si>
  <si>
    <t>TF21</t>
  </si>
  <si>
    <t>F11</t>
  </si>
  <si>
    <t>TF8</t>
  </si>
  <si>
    <t>In Parallel Conduction of Aluminium and Convection through the Gap 8</t>
  </si>
  <si>
    <t>TF20</t>
  </si>
  <si>
    <t>TF9</t>
  </si>
  <si>
    <t xml:space="preserve"> Heat Block Dimensions (Modelled as Flat Plate)</t>
  </si>
  <si>
    <t>Conduction of Aluminium through Fin 9</t>
  </si>
  <si>
    <t>TF19</t>
  </si>
  <si>
    <t>F10</t>
  </si>
  <si>
    <t>TF10</t>
  </si>
  <si>
    <t>Cross-sectional Area Values (we will need to minus the area from the nozzle/heat break hole)</t>
  </si>
  <si>
    <t>In Parallel Conduction of Aluminium and Convection through the Gap 9</t>
  </si>
  <si>
    <t>TF18</t>
  </si>
  <si>
    <t>TF11</t>
  </si>
  <si>
    <t>Distribution of Heat Through Heatblock and Nozzle</t>
  </si>
  <si>
    <t>Distribution of Heat Through Heatbreak Neck</t>
  </si>
  <si>
    <t>Distribution of Heat Through Heat Sink</t>
  </si>
  <si>
    <t>Area of Rectangle</t>
  </si>
  <si>
    <t>Conduction of Aluminium through Fin 10</t>
  </si>
  <si>
    <t>TF17</t>
  </si>
  <si>
    <t>F9</t>
  </si>
  <si>
    <t>TF12</t>
  </si>
  <si>
    <t>Distance from the top (mm)</t>
  </si>
  <si>
    <t>Temperature (°C)</t>
  </si>
  <si>
    <t>Distance from bottom of heat sink (mm)</t>
  </si>
  <si>
    <t>Distance from bottom of top of heat sink (mm)</t>
  </si>
  <si>
    <t>Area of Cylinder</t>
  </si>
  <si>
    <t>In Parallel Conduction of Aluminium and Convection through the Gap 10</t>
  </si>
  <si>
    <t>TF16</t>
  </si>
  <si>
    <t>TF13</t>
  </si>
  <si>
    <t>Length of bottom  section</t>
  </si>
  <si>
    <t>Actual Area</t>
  </si>
  <si>
    <t>Conduction of Aluminium through Fin 11</t>
  </si>
  <si>
    <t>TF15</t>
  </si>
  <si>
    <t>F8</t>
  </si>
  <si>
    <t>TF14</t>
  </si>
  <si>
    <t>Length of middle section</t>
  </si>
  <si>
    <t>Conductive Aluminium Resistance in Bottom Section Heat Block</t>
  </si>
  <si>
    <t>In Parallel Conduction of Aluminium and Convection through the Gap 11</t>
  </si>
  <si>
    <t>Length of top section</t>
  </si>
  <si>
    <t>Conduction of Aluminium through Fin 12</t>
  </si>
  <si>
    <t>F7</t>
  </si>
  <si>
    <t>Heat Break Dimensions Inside of Heat Block (Modelled as Flat Plate but Cylindrical Area)</t>
  </si>
  <si>
    <t>In Parallel Conduction of Aluminium and Convection through the Gap 12</t>
  </si>
  <si>
    <t>Total Top Resistance</t>
  </si>
  <si>
    <t>F6</t>
  </si>
  <si>
    <t>Heat Break Dimensions between Heat Block and Heat Sink (Modelled as Cylinder)</t>
  </si>
  <si>
    <t>Cylindrical Conduction Resistance of Brass in Middle Heat Block</t>
  </si>
  <si>
    <t>Total Heat Out (except Filament)</t>
  </si>
  <si>
    <t>TF09</t>
  </si>
  <si>
    <t>F5</t>
  </si>
  <si>
    <t>TF08</t>
  </si>
  <si>
    <t>TF07</t>
  </si>
  <si>
    <t>F4</t>
  </si>
  <si>
    <t>Step Length</t>
  </si>
  <si>
    <t>Total Heat Out through the Bottom</t>
  </si>
  <si>
    <t>TF06</t>
  </si>
  <si>
    <t>Total Length</t>
  </si>
  <si>
    <t>Temperature of the Heater Cartridge</t>
  </si>
  <si>
    <t>TF05</t>
  </si>
  <si>
    <t>F3</t>
  </si>
  <si>
    <t>TF24 - Top of Heat Sink</t>
  </si>
  <si>
    <t>Heat Break Dimensions inside Heat Sink (Modelled as Cylinder)</t>
  </si>
  <si>
    <t>Conductive Brass Resistance in Middle Section Heat Block</t>
  </si>
  <si>
    <t>TF04</t>
  </si>
  <si>
    <t>Flat Plate Conduction Resistance of aluminium middle of heat block</t>
  </si>
  <si>
    <t>TF03</t>
  </si>
  <si>
    <t>F2</t>
  </si>
  <si>
    <t>TF02</t>
  </si>
  <si>
    <t>Total Heat Out through the Top</t>
  </si>
  <si>
    <t>Bottom of Heat Sink Temperature - TF1</t>
  </si>
  <si>
    <t>F1</t>
  </si>
  <si>
    <t>Temperature throughout Heatbreak Neck</t>
  </si>
  <si>
    <t>Resistance through Step of Heatbreak</t>
  </si>
  <si>
    <t>Total Top Heat out</t>
  </si>
  <si>
    <t>TBH5</t>
  </si>
  <si>
    <t>Conductive Aluminium Resistance in Middle Section Heat Block</t>
  </si>
  <si>
    <t>Total Heat Out (Filament)</t>
  </si>
  <si>
    <t>TBH4</t>
  </si>
  <si>
    <t>Heat Sink Interacts funs parallel with 7 fins and 6 Gaps</t>
  </si>
  <si>
    <t>TBH3</t>
  </si>
  <si>
    <t>Mass Flowrate of PLA</t>
  </si>
  <si>
    <t>TBH2</t>
  </si>
  <si>
    <t>Volumetric Flow Rate of PLA</t>
  </si>
  <si>
    <t>Temperature at Top of Heat Block</t>
  </si>
  <si>
    <t>Cylindrical Conduction Resistance of steel top half of heat block</t>
  </si>
  <si>
    <t>Mass Flowrate</t>
  </si>
  <si>
    <t>kg/s</t>
  </si>
  <si>
    <t>TBH02</t>
  </si>
  <si>
    <t>In Parallel Conduction of Steel and Convection through neck of Heat Break</t>
  </si>
  <si>
    <t>Specifc Heat Capacity of PLA</t>
  </si>
  <si>
    <t>Thermal Conducitvity of Stainless Steel</t>
  </si>
  <si>
    <t>Temperature Unheated PLA</t>
  </si>
  <si>
    <t>Temperature at Bottom of Heat Break</t>
  </si>
  <si>
    <t>Conductive Stell Resistance in Top Section Heat Block</t>
  </si>
  <si>
    <t>Temperature Heated PLA</t>
  </si>
  <si>
    <t>Bottom of Heat Sink Temperature</t>
  </si>
  <si>
    <t>Flat Plate Conduction Resistance of aluminium top half of heat block</t>
  </si>
  <si>
    <t>Total Filament Heat Out</t>
  </si>
  <si>
    <t>Total Heat In (Heater Cartridge)</t>
  </si>
  <si>
    <t>Conductive Aluminium Resistance in Top Section Heat Block</t>
  </si>
  <si>
    <t>Cylindrical Conduction Resistance of Heat Break</t>
  </si>
  <si>
    <t>Working out the Volumetric Flow Rate assuming H_in = 30W</t>
  </si>
  <si>
    <t>Calculate Mass Flow Rate</t>
  </si>
  <si>
    <t>Remaining Total Heat In</t>
  </si>
  <si>
    <t>Conductive Heat Break Resistance</t>
  </si>
  <si>
    <t>Natural Cylindrical Convection Resistance between Heat Block and Heat Sink</t>
  </si>
  <si>
    <t>Forced Convective Top Air Heat Transfer Coefficient</t>
  </si>
  <si>
    <t>Calculate Volumetric Flow Rate</t>
  </si>
  <si>
    <t>Volumetric Flowrate of PLA</t>
  </si>
  <si>
    <t>Natural Convective Resistance through neck of Heat Break</t>
  </si>
  <si>
    <t>Heat Out only through the PLA</t>
  </si>
  <si>
    <t>Volumetric Flowrate of PLA (mm^3/s)</t>
  </si>
  <si>
    <t>Heat Out through top, bottom and PLA</t>
  </si>
  <si>
    <t>Distance from bottom of hotend (mm)</t>
  </si>
  <si>
    <t>In Parallel Conduction of Steel, Conduction of Aluminium and Convection through first 7 fins of Heat Sink (note same thing but without steel for the last 5 fins)</t>
  </si>
  <si>
    <t>Cylindrical Conduction Resistance aluminium through each Fin of Heat Sink</t>
  </si>
  <si>
    <t>Aluminium Conductive Heat Sink Resistance per Fin</t>
  </si>
  <si>
    <t>Cylindrical Conduction Resistance Steel through each Fin of Heat Sink</t>
  </si>
  <si>
    <t>Thermal Conducitvity of Steel</t>
  </si>
  <si>
    <t>Steel Conductive Heat Sink Resistance per Fin</t>
  </si>
  <si>
    <t>Cylindrical Conduction Resistance Aluminium through each Gap of Heat Sink</t>
  </si>
  <si>
    <t xml:space="preserve">Aluminium Conductive Heat Sink Resistance per Gap </t>
  </si>
  <si>
    <t>Cylindrical Conduction Resistance Steel through each Gap of Heat Sink</t>
  </si>
  <si>
    <t>Steel Conductive Heat Sink Resistance per Gap</t>
  </si>
  <si>
    <t>Forced Cylindrical Convection Resistance throgh each gap of Heat Sink</t>
  </si>
  <si>
    <t>Forced Convective Air Heat Transfer Coefficient</t>
  </si>
  <si>
    <t>Area of Heat Sink</t>
  </si>
  <si>
    <t>Forced Convective Heat Sink Resistance per Gap</t>
  </si>
  <si>
    <t>In Parallel Conduction of Steel and Aluminium through each 7 Fins of Heat Sink</t>
  </si>
  <si>
    <t>In Parallel Condunction of Steel and Aluminium and Convection through each 6 Gap of Heat Sink</t>
  </si>
  <si>
    <t>Conduction of Aluminium through the 5 top Fins of Heat Sink</t>
  </si>
  <si>
    <t>In Parallel Conduction of Aluminium and Convection through the 6 top gaps of Heat Sink</t>
  </si>
  <si>
    <t>Distance from bottom of heat break (mm)</t>
  </si>
  <si>
    <t>Temperature (deg Celcius)</t>
  </si>
  <si>
    <t>Free/Natural Convection around the Heat Block</t>
  </si>
  <si>
    <t>Conduction from heat cartridge to heat block</t>
  </si>
  <si>
    <t>Calculate Heat Input Required</t>
  </si>
  <si>
    <t>Width (W)</t>
  </si>
  <si>
    <t>Depth (D)</t>
  </si>
  <si>
    <t>Thermal Conductivity of Aluminium (k)</t>
  </si>
  <si>
    <t>Length of hotend (L)</t>
  </si>
  <si>
    <t>Width of hotend (W)</t>
  </si>
  <si>
    <t>Length to top of heat block from heat cartridge (Lt)</t>
  </si>
  <si>
    <t>Length to bottom of heat block from heat cartridge (Lb)</t>
  </si>
  <si>
    <t>Resistance to bottom cond (Rbcd)</t>
  </si>
  <si>
    <t>Resistance to bottom conv (Rbcv)</t>
  </si>
  <si>
    <t>Resistance to top cond (Rtcd)</t>
  </si>
  <si>
    <t>Resistance to top conv (Rtcv)</t>
  </si>
  <si>
    <t>Total Resistance to bottom air (Rb)</t>
  </si>
  <si>
    <t>Total Resistance to top air (Rt)</t>
  </si>
  <si>
    <t>Temperature of heat cartridge (T_hc)</t>
  </si>
  <si>
    <t>Diameter (D)</t>
  </si>
  <si>
    <t>Heat Output through the bottom (Qbot)</t>
  </si>
  <si>
    <t>Heat Output through the top (Qtop)</t>
  </si>
  <si>
    <t>Heat Input (Q)</t>
  </si>
  <si>
    <t>Calculate the temperature at the top and bottom surface of the heat block</t>
  </si>
  <si>
    <t>Temperature at the bottom of the hot end</t>
  </si>
  <si>
    <t>Temperature at the top of the hot end</t>
  </si>
  <si>
    <t>Calculate the temperature gradient from the heat cartridge to the bottom</t>
  </si>
  <si>
    <t>Temp at Heat Catridge</t>
  </si>
  <si>
    <t>Temp at bottom of hotend</t>
  </si>
  <si>
    <t>Distance</t>
  </si>
  <si>
    <t xml:space="preserve">Rate of change </t>
  </si>
  <si>
    <t>K/m</t>
  </si>
  <si>
    <t>Calculate the temperature gradient from the heat cartridge to the top</t>
  </si>
  <si>
    <t>Temp at top of hotend</t>
  </si>
  <si>
    <t>Distance (m)</t>
  </si>
  <si>
    <t>Temperature</t>
  </si>
  <si>
    <t>Natural Convective Air Heat Transfer Coefficient</t>
  </si>
  <si>
    <t>Convective Nozzle Resistance</t>
  </si>
  <si>
    <t>Conductive Nozzle Resistance</t>
  </si>
  <si>
    <t>Conductive bottom half of heat block resistance</t>
  </si>
  <si>
    <t>Conductive top half of heat block resistance</t>
  </si>
  <si>
    <t>Conductive Heat Sink Resistance</t>
  </si>
  <si>
    <t>Convective Heat Sink Resistance</t>
  </si>
  <si>
    <t>Temperature at Top of Heat Sink</t>
  </si>
  <si>
    <t>Flat Plate Conduction Resistance of bottom half of heat block</t>
  </si>
  <si>
    <t>Top of Heat Sink Temperature</t>
  </si>
  <si>
    <t>Temperature at Bottom of Heat Sink</t>
  </si>
  <si>
    <t>Area</t>
  </si>
  <si>
    <t>Flat Plate Conduction Resistance of top half of heat block</t>
  </si>
  <si>
    <t>Nozzle Dimensions (Modelled as Cylinder)</t>
  </si>
  <si>
    <t>Cross-sectional Area Values</t>
  </si>
  <si>
    <t>Lengths</t>
  </si>
  <si>
    <t>Length from center of heater cartridge to bottom</t>
  </si>
  <si>
    <t>Length from center of heater cartridge to top</t>
  </si>
  <si>
    <t>Heat Break Dimensions (Modelled as Cylinder)</t>
  </si>
  <si>
    <t>Cylindrical Conduction Resistance of Heat Sink</t>
  </si>
  <si>
    <t>Forced Convection Resistance between Heat Sink and Ambient Air</t>
  </si>
  <si>
    <t>Natural Air</t>
  </si>
  <si>
    <t>Conductive Heat Sink Resistance Fin 1</t>
  </si>
  <si>
    <t>Convective Heat Sink Resistance Gap 1</t>
  </si>
  <si>
    <t>Conductive Heat Sink Resistance Fin 2</t>
  </si>
  <si>
    <t>Convective Heat Sink Resistance Gap 2</t>
  </si>
  <si>
    <t>Conductive Heat Sink Resistance Fin 3</t>
  </si>
  <si>
    <t>Convective Heat Sink Resistance Gap 3</t>
  </si>
  <si>
    <t>Convective Heat Sink Resistance per Fin</t>
  </si>
  <si>
    <t>Conductive Heat Sink Resistance Fin 4</t>
  </si>
  <si>
    <t>Convective Heat Sink Resistance Gap 4</t>
  </si>
  <si>
    <t>Conductive Heat Sink Resistance Fin 5</t>
  </si>
  <si>
    <t>Convective Heat Sink Resistance Gap 5</t>
  </si>
  <si>
    <t>Conductive Heat Sink Resistance Fin 6</t>
  </si>
  <si>
    <t>Conductive Heat Sink Resistance per Fin</t>
  </si>
  <si>
    <t>Convective Heat Sink Resistance Gap 6</t>
  </si>
  <si>
    <t>Conductive Heat Sink Resistance Fin 7</t>
  </si>
  <si>
    <t>Convective Heat Sink Resistance Gap 7</t>
  </si>
  <si>
    <t>Conductive Heat Sink Resistance Fin 8</t>
  </si>
  <si>
    <t>Convective Heat Sink Resistance Gap 8</t>
  </si>
  <si>
    <t>Conductive Heat Sink Resistance Fin 9</t>
  </si>
  <si>
    <t>Convective Heat Sink Resistance Gap 9</t>
  </si>
  <si>
    <t>Conductive Heat Sink Resistance Fin 10</t>
  </si>
  <si>
    <t>Convective Heat Sink Resistance Gap 10</t>
  </si>
  <si>
    <t>Conductive Heat Sink Resistance Fin 11</t>
  </si>
  <si>
    <t>Convective Heat Sink Resistance Gap 11</t>
  </si>
  <si>
    <t>Conductive Heat Sink Resistance Fin 12</t>
  </si>
  <si>
    <t>Convective Heat Sink Resistance Gap 12</t>
  </si>
  <si>
    <t>Cylindrical Conduction Resistance through each Fin of Heat Sink</t>
  </si>
  <si>
    <t>Forced Cylindrical Convection Resistance between Fins of Heat Sink</t>
  </si>
  <si>
    <t>Heat Sink TF2 Temperature</t>
  </si>
  <si>
    <t>In Parallel Conduction of Steel and Convection through neck of Heat Break 6</t>
  </si>
  <si>
    <t>In Parallel Conduction of Steel and Convection through neck of Heat Break 7</t>
  </si>
  <si>
    <t>In Parallel Conduction of Steel and Convection through neck of Heat Break 8</t>
  </si>
  <si>
    <t>In Parallel Conduction of Steel and Convection through neck of Heat Break 9</t>
  </si>
  <si>
    <t>In Parallel Conduction of Steel and Convection through neck of Heat Break 10</t>
  </si>
  <si>
    <t>In Parallel Conduction of Steel and Convection through neck of Heat Break 11</t>
  </si>
  <si>
    <t>In Parallel Conduction of Steel and Convection through neck of Heat Break 12</t>
  </si>
  <si>
    <t>In Parallel Conduction of Steel and Convection through neck of Heat Break 13</t>
  </si>
  <si>
    <t>THB 6</t>
  </si>
  <si>
    <t>In Parallel Conduction of Steel and Convection through neck of Heat Break 14</t>
  </si>
  <si>
    <t>THB 7</t>
  </si>
  <si>
    <t>In Parallel Conduction of Steel and Convection through neck of Heat Break 15</t>
  </si>
  <si>
    <t>THB 8</t>
  </si>
  <si>
    <t>In Parallel Conduction of Steel and Convection through neck of Heat Break 16</t>
  </si>
  <si>
    <t>THB 9</t>
  </si>
  <si>
    <t>In Parallel Conduction of Steel and Convection through neck of Heat Break 17</t>
  </si>
  <si>
    <t>THB 10</t>
  </si>
  <si>
    <t>In Parallel Conduction of Steel and Convection through neck of Heat Break 18</t>
  </si>
  <si>
    <t>THB 11</t>
  </si>
  <si>
    <t>In Parallel Conduction of Steel and Convection through neck of Heat Break 19</t>
  </si>
  <si>
    <t>THB 12</t>
  </si>
  <si>
    <t>In Parallel Conduction of Steel and Convection through neck of Heat Break 20</t>
  </si>
  <si>
    <t>THB 13</t>
  </si>
  <si>
    <t>In Parallel Conduction of Steel and Convection through neck of Heat Break 21</t>
  </si>
  <si>
    <t>THB 14</t>
  </si>
  <si>
    <t>THB 15</t>
  </si>
  <si>
    <t>THB 16</t>
  </si>
  <si>
    <t>THB 17</t>
  </si>
  <si>
    <t>THB 18</t>
  </si>
  <si>
    <t>THB 19</t>
  </si>
  <si>
    <t>THB 20</t>
  </si>
  <si>
    <t>THB 21</t>
  </si>
  <si>
    <t>TBH21</t>
  </si>
  <si>
    <t>TBH20</t>
  </si>
  <si>
    <t>TBH19</t>
  </si>
  <si>
    <t>TBH18</t>
  </si>
  <si>
    <t>TBH17</t>
  </si>
  <si>
    <t>TBH16</t>
  </si>
  <si>
    <t>TBH15</t>
  </si>
  <si>
    <t>TBH14</t>
  </si>
  <si>
    <t>TBH13</t>
  </si>
  <si>
    <t>TBH12</t>
  </si>
  <si>
    <t>TBH11</t>
  </si>
  <si>
    <t>TBH10</t>
  </si>
  <si>
    <t>TBH09</t>
  </si>
  <si>
    <t>TBH08</t>
  </si>
  <si>
    <t>TBH07</t>
  </si>
  <si>
    <t>TBH06</t>
  </si>
  <si>
    <t>TBH05</t>
  </si>
  <si>
    <t>TBH04</t>
  </si>
  <si>
    <t>TBH03</t>
  </si>
  <si>
    <t>TBH7</t>
  </si>
  <si>
    <t>TBH6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</si>
</sst>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00000"/>
    <numFmt numFmtId="165" formatCode="#,##0.0000000"/>
    <numFmt numFmtId="166" formatCode="0.0000"/>
    <numFmt numFmtId="167" formatCode="0.000"/>
    <numFmt numFmtId="168" formatCode="0.00000"/>
  </numFmts>
  <fonts count="22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1F1F1F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sz val="11.0"/>
      <color theme="1"/>
      <name val="Arial"/>
      <scheme val="minor"/>
    </font>
    <font>
      <b/>
      <u/>
      <color theme="1"/>
      <name val="Arial"/>
      <scheme val="minor"/>
    </font>
    <font>
      <u/>
      <sz val="11.0"/>
      <color theme="1"/>
      <name val="Arial"/>
      <scheme val="minor"/>
    </font>
    <font>
      <b/>
      <u/>
      <sz val="13.0"/>
      <color rgb="FFFFFFFF"/>
      <name val="Arial"/>
      <scheme val="minor"/>
    </font>
    <font>
      <b/>
      <sz val="12.0"/>
      <color rgb="FFFFFFFF"/>
      <name val="Arial"/>
      <scheme val="minor"/>
    </font>
    <font>
      <u/>
      <color rgb="FF0000FF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1155CC"/>
        <bgColor rgb="FF1155CC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Font="1"/>
    <xf borderId="4" fillId="0" fontId="5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7" fillId="0" fontId="2" numFmtId="0" xfId="0" applyBorder="1" applyFont="1"/>
    <xf borderId="6" fillId="0" fontId="2" numFmtId="0" xfId="0" applyBorder="1" applyFont="1"/>
    <xf borderId="8" fillId="0" fontId="9" numFmtId="0" xfId="0" applyAlignment="1" applyBorder="1" applyFont="1">
      <alignment readingOrder="0"/>
    </xf>
    <xf borderId="9" fillId="0" fontId="9" numFmtId="0" xfId="0" applyAlignment="1" applyBorder="1" applyFont="1">
      <alignment readingOrder="0"/>
    </xf>
    <xf borderId="10" fillId="2" fontId="10" numFmtId="0" xfId="0" applyBorder="1" applyFill="1" applyFont="1"/>
    <xf borderId="11" fillId="0" fontId="9" numFmtId="0" xfId="0" applyAlignment="1" applyBorder="1" applyFont="1">
      <alignment readingOrder="0"/>
    </xf>
    <xf borderId="11" fillId="3" fontId="11" numFmtId="0" xfId="0" applyAlignment="1" applyBorder="1" applyFill="1" applyFont="1">
      <alignment readingOrder="0"/>
    </xf>
    <xf borderId="10" fillId="0" fontId="9" numFmtId="0" xfId="0" applyBorder="1" applyFont="1"/>
    <xf borderId="4" fillId="0" fontId="9" numFmtId="0" xfId="0" applyAlignment="1" applyBorder="1" applyFont="1">
      <alignment readingOrder="0"/>
    </xf>
    <xf borderId="6" fillId="4" fontId="9" numFmtId="0" xfId="0" applyAlignment="1" applyBorder="1" applyFill="1" applyFont="1">
      <alignment readingOrder="0"/>
    </xf>
    <xf borderId="10" fillId="2" fontId="9" numFmtId="0" xfId="0" applyBorder="1" applyFont="1"/>
    <xf borderId="9" fillId="0" fontId="9" numFmtId="0" xfId="0" applyBorder="1" applyFont="1"/>
    <xf borderId="10" fillId="4" fontId="9" numFmtId="0" xfId="0" applyAlignment="1" applyBorder="1" applyFont="1">
      <alignment readingOrder="0"/>
    </xf>
    <xf borderId="12" fillId="0" fontId="9" numFmtId="0" xfId="0" applyAlignment="1" applyBorder="1" applyFont="1">
      <alignment readingOrder="0"/>
    </xf>
    <xf borderId="13" fillId="0" fontId="9" numFmtId="0" xfId="0" applyAlignment="1" applyBorder="1" applyFont="1">
      <alignment readingOrder="0"/>
    </xf>
    <xf borderId="14" fillId="4" fontId="9" numFmtId="0" xfId="0" applyAlignment="1" applyBorder="1" applyFont="1">
      <alignment readingOrder="0"/>
    </xf>
    <xf borderId="0" fillId="0" fontId="9" numFmtId="0" xfId="0" applyFont="1"/>
    <xf borderId="13" fillId="0" fontId="12" numFmtId="0" xfId="0" applyAlignment="1" applyBorder="1" applyFont="1">
      <alignment readingOrder="0"/>
    </xf>
    <xf borderId="13" fillId="0" fontId="12" numFmtId="0" xfId="0" applyBorder="1" applyFont="1"/>
    <xf borderId="10" fillId="2" fontId="9" numFmtId="0" xfId="0" applyAlignment="1" applyBorder="1" applyFont="1">
      <alignment readingOrder="0"/>
    </xf>
    <xf borderId="14" fillId="2" fontId="9" numFmtId="0" xfId="0" applyAlignment="1" applyBorder="1" applyFont="1">
      <alignment readingOrder="0"/>
    </xf>
    <xf borderId="8" fillId="0" fontId="12" numFmtId="0" xfId="0" applyAlignment="1" applyBorder="1" applyFont="1">
      <alignment readingOrder="0"/>
    </xf>
    <xf borderId="9" fillId="0" fontId="12" numFmtId="0" xfId="0" applyAlignment="1" applyBorder="1" applyFont="1">
      <alignment readingOrder="0"/>
    </xf>
    <xf borderId="10" fillId="0" fontId="12" numFmtId="0" xfId="0" applyBorder="1" applyFont="1"/>
    <xf borderId="6" fillId="2" fontId="9" numFmtId="0" xfId="0" applyBorder="1" applyFont="1"/>
    <xf borderId="10" fillId="0" fontId="9" numFmtId="11" xfId="0" applyAlignment="1" applyBorder="1" applyFont="1" applyNumberFormat="1">
      <alignment readingOrder="0"/>
    </xf>
    <xf borderId="10" fillId="0" fontId="9" numFmtId="0" xfId="0" applyAlignment="1" applyBorder="1" applyFont="1">
      <alignment readingOrder="0"/>
    </xf>
    <xf borderId="10" fillId="0" fontId="12" numFmtId="164" xfId="0" applyBorder="1" applyFont="1" applyNumberFormat="1"/>
    <xf borderId="10" fillId="0" fontId="12" numFmtId="165" xfId="0" applyBorder="1" applyFont="1" applyNumberFormat="1"/>
    <xf borderId="6" fillId="2" fontId="9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0" fillId="0" fontId="2" numFmtId="0" xfId="0" applyBorder="1" applyFont="1"/>
    <xf borderId="5" fillId="0" fontId="9" numFmtId="0" xfId="0" applyAlignment="1" applyBorder="1" applyFont="1">
      <alignment readingOrder="0"/>
    </xf>
    <xf borderId="5" fillId="0" fontId="12" numFmtId="0" xfId="0" applyAlignment="1" applyBorder="1" applyFont="1">
      <alignment readingOrder="0"/>
    </xf>
    <xf borderId="6" fillId="0" fontId="9" numFmtId="0" xfId="0" applyBorder="1" applyFont="1"/>
    <xf borderId="12" fillId="0" fontId="12" numFmtId="0" xfId="0" applyAlignment="1" applyBorder="1" applyFont="1">
      <alignment readingOrder="0"/>
    </xf>
    <xf borderId="14" fillId="0" fontId="12" numFmtId="0" xfId="0" applyBorder="1" applyFont="1"/>
    <xf borderId="10" fillId="2" fontId="12" numFmtId="0" xfId="0" applyBorder="1" applyFont="1"/>
    <xf borderId="14" fillId="2" fontId="9" numFmtId="0" xfId="0" applyBorder="1" applyFont="1"/>
    <xf borderId="1" fillId="0" fontId="13" numFmtId="0" xfId="0" applyAlignment="1" applyBorder="1" applyFont="1">
      <alignment readingOrder="0"/>
    </xf>
    <xf borderId="3" fillId="0" fontId="14" numFmtId="0" xfId="0" applyAlignment="1" applyBorder="1" applyFont="1">
      <alignment readingOrder="0"/>
    </xf>
    <xf borderId="8" fillId="0" fontId="8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6" fillId="4" fontId="9" numFmtId="0" xfId="0" applyBorder="1" applyFont="1"/>
    <xf borderId="8" fillId="0" fontId="9" numFmtId="166" xfId="0" applyAlignment="1" applyBorder="1" applyFont="1" applyNumberFormat="1">
      <alignment readingOrder="0"/>
    </xf>
    <xf borderId="9" fillId="0" fontId="9" numFmtId="166" xfId="0" applyAlignment="1" applyBorder="1" applyFont="1" applyNumberFormat="1">
      <alignment readingOrder="0"/>
    </xf>
    <xf borderId="10" fillId="4" fontId="9" numFmtId="166" xfId="0" applyBorder="1" applyFont="1" applyNumberFormat="1"/>
    <xf borderId="0" fillId="0" fontId="9" numFmtId="166" xfId="0" applyFont="1" applyNumberFormat="1"/>
    <xf borderId="14" fillId="0" fontId="12" numFmtId="0" xfId="0" applyAlignment="1" applyBorder="1" applyFont="1">
      <alignment readingOrder="0"/>
    </xf>
    <xf borderId="11" fillId="2" fontId="9" numFmtId="0" xfId="0" applyAlignment="1" applyBorder="1" applyFont="1">
      <alignment readingOrder="0"/>
    </xf>
    <xf borderId="6" fillId="0" fontId="9" numFmtId="0" xfId="0" applyAlignment="1" applyBorder="1" applyFont="1">
      <alignment readingOrder="0"/>
    </xf>
    <xf borderId="10" fillId="4" fontId="9" numFmtId="4" xfId="0" applyBorder="1" applyFont="1" applyNumberFormat="1"/>
    <xf borderId="9" fillId="2" fontId="9" numFmtId="0" xfId="0" applyAlignment="1" applyBorder="1" applyFont="1">
      <alignment readingOrder="0"/>
    </xf>
    <xf borderId="11" fillId="0" fontId="9" numFmtId="0" xfId="0" applyBorder="1" applyFont="1"/>
    <xf borderId="5" fillId="0" fontId="9" numFmtId="166" xfId="0" applyBorder="1" applyFont="1" applyNumberFormat="1"/>
    <xf borderId="13" fillId="2" fontId="9" numFmtId="0" xfId="0" applyAlignment="1" applyBorder="1" applyFont="1">
      <alignment readingOrder="0"/>
    </xf>
    <xf borderId="11" fillId="4" fontId="9" numFmtId="0" xfId="0" applyBorder="1" applyFont="1"/>
    <xf borderId="9" fillId="4" fontId="9" numFmtId="0" xfId="0" applyBorder="1" applyFont="1"/>
    <xf borderId="1" fillId="5" fontId="16" numFmtId="0" xfId="0" applyAlignment="1" applyBorder="1" applyFill="1" applyFont="1">
      <alignment readingOrder="0"/>
    </xf>
    <xf borderId="5" fillId="5" fontId="12" numFmtId="0" xfId="0" applyBorder="1" applyFont="1"/>
    <xf borderId="14" fillId="0" fontId="9" numFmtId="0" xfId="0" applyBorder="1" applyFont="1"/>
    <xf borderId="0" fillId="0" fontId="9" numFmtId="0" xfId="0" applyAlignment="1" applyFont="1">
      <alignment readingOrder="0"/>
    </xf>
    <xf borderId="1" fillId="0" fontId="8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/>
    </xf>
    <xf borderId="4" fillId="0" fontId="8" numFmtId="0" xfId="0" applyAlignment="1" applyBorder="1" applyFont="1">
      <alignment horizontal="center" readingOrder="0" shrinkToFit="0" wrapText="1"/>
    </xf>
    <xf borderId="13" fillId="4" fontId="9" numFmtId="0" xfId="0" applyBorder="1" applyFont="1"/>
    <xf borderId="13" fillId="0" fontId="9" numFmtId="0" xfId="0" applyBorder="1" applyFont="1"/>
    <xf borderId="10" fillId="0" fontId="9" numFmtId="11" xfId="0" applyBorder="1" applyFont="1" applyNumberFormat="1"/>
    <xf borderId="14" fillId="0" fontId="12" numFmtId="11" xfId="0" applyBorder="1" applyFont="1" applyNumberFormat="1"/>
    <xf borderId="14" fillId="0" fontId="12" numFmtId="4" xfId="0" applyBorder="1" applyFont="1" applyNumberFormat="1"/>
    <xf borderId="10" fillId="0" fontId="9" numFmtId="4" xfId="0" applyBorder="1" applyFont="1" applyNumberFormat="1"/>
    <xf borderId="10" fillId="0" fontId="9" numFmtId="4" xfId="0" applyAlignment="1" applyBorder="1" applyFont="1" applyNumberFormat="1">
      <alignment readingOrder="0"/>
    </xf>
    <xf borderId="6" fillId="0" fontId="9" numFmtId="11" xfId="0" applyBorder="1" applyFont="1" applyNumberFormat="1"/>
    <xf borderId="12" fillId="4" fontId="12" numFmtId="0" xfId="0" applyAlignment="1" applyBorder="1" applyFont="1">
      <alignment readingOrder="0"/>
    </xf>
    <xf borderId="13" fillId="4" fontId="12" numFmtId="0" xfId="0" applyAlignment="1" applyBorder="1" applyFont="1">
      <alignment readingOrder="0"/>
    </xf>
    <xf borderId="14" fillId="4" fontId="12" numFmtId="4" xfId="0" applyBorder="1" applyFont="1" applyNumberFormat="1"/>
    <xf borderId="1" fillId="0" fontId="17" numFmtId="0" xfId="0" applyAlignment="1" applyBorder="1" applyFont="1">
      <alignment horizontal="center" readingOrder="0" shrinkToFit="0" wrapText="1"/>
    </xf>
    <xf borderId="0" fillId="0" fontId="9" numFmtId="4" xfId="0" applyFont="1" applyNumberFormat="1"/>
    <xf borderId="0" fillId="3" fontId="0" numFmtId="4" xfId="0" applyFont="1" applyNumberFormat="1"/>
    <xf borderId="0" fillId="0" fontId="9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9" numFmtId="11" xfId="0" applyAlignment="1" applyFont="1" applyNumberFormat="1">
      <alignment readingOrder="0"/>
    </xf>
    <xf borderId="15" fillId="6" fontId="18" numFmtId="0" xfId="0" applyAlignment="1" applyBorder="1" applyFill="1" applyFont="1">
      <alignment horizontal="center" readingOrder="0"/>
    </xf>
    <xf borderId="16" fillId="0" fontId="2" numFmtId="0" xfId="0" applyBorder="1" applyFont="1"/>
    <xf borderId="17" fillId="0" fontId="2" numFmtId="0" xfId="0" applyBorder="1" applyFont="1"/>
    <xf borderId="1" fillId="6" fontId="19" numFmtId="0" xfId="0" applyAlignment="1" applyBorder="1" applyFont="1">
      <alignment horizontal="center" readingOrder="0"/>
    </xf>
    <xf borderId="0" fillId="3" fontId="11" numFmtId="0" xfId="0" applyAlignment="1" applyFont="1">
      <alignment readingOrder="0"/>
    </xf>
    <xf borderId="11" fillId="2" fontId="20" numFmtId="166" xfId="0" applyAlignment="1" applyBorder="1" applyFont="1" applyNumberFormat="1">
      <alignment readingOrder="0"/>
    </xf>
    <xf borderId="11" fillId="2" fontId="21" numFmtId="2" xfId="0" applyAlignment="1" applyBorder="1" applyFont="1" applyNumberFormat="1">
      <alignment readingOrder="0"/>
    </xf>
    <xf borderId="9" fillId="0" fontId="9" numFmtId="166" xfId="0" applyBorder="1" applyFont="1" applyNumberFormat="1"/>
    <xf borderId="9" fillId="2" fontId="9" numFmtId="1" xfId="0" applyAlignment="1" applyBorder="1" applyFont="1" applyNumberFormat="1">
      <alignment readingOrder="0"/>
    </xf>
    <xf borderId="18" fillId="4" fontId="9" numFmtId="0" xfId="0" applyAlignment="1" applyBorder="1" applyFont="1">
      <alignment readingOrder="0"/>
    </xf>
    <xf borderId="19" fillId="4" fontId="9" numFmtId="0" xfId="0" applyAlignment="1" applyBorder="1" applyFont="1">
      <alignment readingOrder="0"/>
    </xf>
    <xf borderId="20" fillId="4" fontId="9" numFmtId="166" xfId="0" applyBorder="1" applyFont="1" applyNumberFormat="1"/>
    <xf borderId="9" fillId="2" fontId="9" numFmtId="167" xfId="0" applyAlignment="1" applyBorder="1" applyFont="1" applyNumberFormat="1">
      <alignment readingOrder="0"/>
    </xf>
    <xf borderId="8" fillId="0" fontId="9" numFmtId="0" xfId="0" applyAlignment="1" applyBorder="1" applyFont="1">
      <alignment readingOrder="0"/>
    </xf>
    <xf borderId="10" fillId="2" fontId="9" numFmtId="11" xfId="0" applyAlignment="1" applyBorder="1" applyFont="1" applyNumberFormat="1">
      <alignment readingOrder="0"/>
    </xf>
    <xf borderId="10" fillId="2" fontId="9" numFmtId="4" xfId="0" applyAlignment="1" applyBorder="1" applyFont="1" applyNumberFormat="1">
      <alignment readingOrder="0"/>
    </xf>
    <xf borderId="14" fillId="0" fontId="9" numFmtId="11" xfId="0" applyBorder="1" applyFont="1" applyNumberFormat="1"/>
    <xf borderId="10" fillId="0" fontId="9" numFmtId="168" xfId="0" applyBorder="1" applyFont="1" applyNumberFormat="1"/>
    <xf borderId="21" fillId="4" fontId="9" numFmtId="0" xfId="0" applyAlignment="1" applyBorder="1" applyFont="1">
      <alignment readingOrder="0"/>
    </xf>
    <xf borderId="22" fillId="4" fontId="9" numFmtId="0" xfId="0" applyAlignment="1" applyBorder="1" applyFont="1">
      <alignment readingOrder="0"/>
    </xf>
    <xf borderId="23" fillId="4" fontId="9" numFmtId="11" xfId="0" applyBorder="1" applyFont="1" applyNumberFormat="1"/>
    <xf borderId="24" fillId="4" fontId="9" numFmtId="0" xfId="0" applyAlignment="1" applyBorder="1" applyFont="1">
      <alignment readingOrder="0"/>
    </xf>
    <xf borderId="25" fillId="4" fontId="9" numFmtId="0" xfId="0" applyAlignment="1" applyBorder="1" applyFont="1">
      <alignment readingOrder="0"/>
    </xf>
    <xf borderId="26" fillId="4" fontId="9" numFmtId="4" xfId="0" applyBorder="1" applyFont="1" applyNumberFormat="1"/>
    <xf borderId="3" fillId="0" fontId="9" numFmtId="0" xfId="0" applyBorder="1" applyFont="1"/>
    <xf borderId="12" fillId="6" fontId="19" numFmtId="0" xfId="0" applyAlignment="1" applyBorder="1" applyFont="1">
      <alignment horizontal="center" readingOrder="0"/>
    </xf>
    <xf borderId="27" fillId="0" fontId="2" numFmtId="0" xfId="0" applyBorder="1" applyFont="1"/>
    <xf borderId="14" fillId="0" fontId="2" numFmtId="0" xfId="0" applyBorder="1" applyFont="1"/>
    <xf borderId="26" fillId="4" fontId="9" numFmtId="11" xfId="0" applyBorder="1" applyFont="1" applyNumberFormat="1"/>
    <xf borderId="20" fillId="4" fontId="9" numFmtId="4" xfId="0" applyBorder="1" applyFont="1" applyNumberFormat="1"/>
    <xf borderId="8" fillId="0" fontId="9" numFmtId="0" xfId="0" applyAlignment="1" applyBorder="1" applyFont="1">
      <alignment readingOrder="0" shrinkToFit="0" wrapText="1"/>
    </xf>
    <xf borderId="1" fillId="6" fontId="19" numFmtId="0" xfId="0" applyAlignment="1" applyBorder="1" applyFont="1">
      <alignment horizontal="center" readingOrder="0" shrinkToFit="0" wrapText="1"/>
    </xf>
    <xf borderId="26" fillId="4" fontId="9" numFmtId="2" xfId="0" applyBorder="1" applyFont="1" applyNumberFormat="1"/>
    <xf borderId="26" fillId="4" fontId="9" numFmtId="0" xfId="0" applyBorder="1" applyFont="1"/>
    <xf borderId="10" fillId="4" fontId="9" numFmtId="0" xfId="0" applyBorder="1" applyFont="1"/>
    <xf borderId="5" fillId="0" fontId="9" numFmtId="0" xfId="0" applyBorder="1" applyFont="1"/>
    <xf borderId="14" fillId="4" fontId="9" numFmtId="0" xfId="0" applyBorder="1" applyFont="1"/>
    <xf borderId="4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'Solution 7'!$S$14:$S$48</c:f>
              <c:numCache/>
            </c:numRef>
          </c:val>
        </c:ser>
        <c:axId val="388509260"/>
        <c:axId val="2011773671"/>
      </c:areaChart>
      <c:catAx>
        <c:axId val="388509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773671"/>
      </c:catAx>
      <c:valAx>
        <c:axId val="2011773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509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Heat Through Heatblock and Nozzle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'Solution 7'!$V$35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'Solution 7'!$U$36:$U$40</c:f>
            </c:strRef>
          </c:cat>
          <c:val>
            <c:numRef>
              <c:f>'Solution 7'!$V$36:$V$40</c:f>
              <c:numCache/>
            </c:numRef>
          </c:val>
        </c:ser>
        <c:overlap val="100"/>
        <c:axId val="1618212870"/>
        <c:axId val="91844456"/>
      </c:barChart>
      <c:catAx>
        <c:axId val="16182128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the top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844456"/>
      </c:catAx>
      <c:valAx>
        <c:axId val="91844456"/>
        <c:scaling>
          <c:orientation val="minMax"/>
          <c:max val="23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2128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Heat Through Heatbreak Neck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'Solution 7'!$AA$34:$AA$35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'Solution 7'!$Z$36:$Z$41</c:f>
            </c:strRef>
          </c:cat>
          <c:val>
            <c:numRef>
              <c:f>'Solution 7'!$AA$36:$AA$41</c:f>
              <c:numCache/>
            </c:numRef>
          </c:val>
        </c:ser>
        <c:axId val="1057434446"/>
        <c:axId val="1100140850"/>
      </c:barChart>
      <c:catAx>
        <c:axId val="10574344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bottom of heat sink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140850"/>
      </c:catAx>
      <c:valAx>
        <c:axId val="11001408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4344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Heat Through Heat Sink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'Solution 7'!$AG$35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'Solution 7'!$AF$36:$AF$59</c:f>
            </c:strRef>
          </c:cat>
          <c:val>
            <c:numRef>
              <c:f>'Solution 7'!$AG$36:$AG$59</c:f>
              <c:numCache/>
            </c:numRef>
          </c:val>
        </c:ser>
        <c:axId val="2000626996"/>
        <c:axId val="479488714"/>
      </c:barChart>
      <c:catAx>
        <c:axId val="20006269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bottom of top of heat sink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488714"/>
      </c:catAx>
      <c:valAx>
        <c:axId val="4794887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6269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Heat Through Heat Sink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'Solution 7'!$AF$36:$AF$59</c:f>
            </c:strRef>
          </c:cat>
          <c:val>
            <c:numRef>
              <c:f>'Solution 7'!$AG$36:$AG$59</c:f>
              <c:numCache/>
            </c:numRef>
          </c:val>
        </c:ser>
        <c:axId val="214953645"/>
        <c:axId val="455391483"/>
      </c:areaChart>
      <c:catAx>
        <c:axId val="214953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bottom of top of heat sink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391483"/>
      </c:catAx>
      <c:valAx>
        <c:axId val="455391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9536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Heat Through Heatbreak Neck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'Solution 7'!$AA$35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'Solution 7'!$Z$36:$Z$41</c:f>
            </c:strRef>
          </c:cat>
          <c:val>
            <c:numRef>
              <c:f>'Solution 7'!$AA$36:$AA$41</c:f>
              <c:numCache/>
            </c:numRef>
          </c:val>
        </c:ser>
        <c:axId val="2127189878"/>
        <c:axId val="450905406"/>
      </c:areaChart>
      <c:catAx>
        <c:axId val="2127189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bottom of heat sink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905406"/>
      </c:catAx>
      <c:valAx>
        <c:axId val="450905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189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Heat Through Heatblock and Nozzle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'Solution 7'!$V$35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'Solution 7'!$U$36:$U$40</c:f>
            </c:strRef>
          </c:cat>
          <c:val>
            <c:numRef>
              <c:f>'Solution 7'!$V$36:$V$40</c:f>
              <c:numCache/>
            </c:numRef>
          </c:val>
        </c:ser>
        <c:axId val="1133045214"/>
        <c:axId val="1860203713"/>
      </c:areaChart>
      <c:catAx>
        <c:axId val="1133045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the top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203713"/>
      </c:catAx>
      <c:valAx>
        <c:axId val="1860203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045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Volumetric Flowrate Performance of PLA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'Solution 7'!$L$96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'Solution 7'!$K$97:$K$137</c:f>
            </c:strRef>
          </c:cat>
          <c:val>
            <c:numRef>
              <c:f>'Solution 7'!$L$97:$L$137</c:f>
              <c:numCache/>
            </c:numRef>
          </c:val>
        </c:ser>
        <c:axId val="921208914"/>
        <c:axId val="1433137726"/>
      </c:areaChart>
      <c:catAx>
        <c:axId val="921208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Heat In (W)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137726"/>
      </c:catAx>
      <c:valAx>
        <c:axId val="1433137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Volumetric Flowrate of PLA (mm^3/s)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2089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Volumetric Flowrate of PLA (mm^3/s) vs Heat In (W)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'Solution 7'!$I$97:$I$137</c:f>
            </c:strRef>
          </c:cat>
          <c:val>
            <c:numRef>
              <c:f>'Solution 7'!$J$97:$J$137</c:f>
              <c:numCache/>
            </c:numRef>
          </c:val>
        </c:ser>
        <c:axId val="1827161797"/>
        <c:axId val="1596700987"/>
      </c:areaChart>
      <c:catAx>
        <c:axId val="1827161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Heat In (W)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700987"/>
      </c:catAx>
      <c:valAx>
        <c:axId val="1596700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Volumetric Flowrate of PLA (mm^3/s)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161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Flowrate Performance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Heat Out through Filament Alone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'Solution 7'!$I$97:$I$137</c:f>
            </c:strRef>
          </c:cat>
          <c:val>
            <c:numRef>
              <c:f>'Solution 7'!$J$97:$J$137</c:f>
              <c:numCache/>
            </c:numRef>
          </c:val>
          <c:smooth val="0"/>
        </c:ser>
        <c:ser>
          <c:idx val="1"/>
          <c:order val="1"/>
          <c:tx>
            <c:v>Heat Out through Hotend and Filament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'Solution 7'!$I$97:$I$137</c:f>
            </c:strRef>
          </c:cat>
          <c:val>
            <c:numRef>
              <c:f>'Solution 7'!$L$97:$L$137</c:f>
              <c:numCache/>
            </c:numRef>
          </c:val>
          <c:smooth val="0"/>
        </c:ser>
        <c:axId val="612458964"/>
        <c:axId val="1081990087"/>
      </c:lineChart>
      <c:catAx>
        <c:axId val="612458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Heat Out only through the PLA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990087"/>
      </c:catAx>
      <c:valAx>
        <c:axId val="1081990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4589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Heat Break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'Solution 7'!$P$96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'Solution 7'!$O$97:$O$116</c:f>
            </c:strRef>
          </c:cat>
          <c:val>
            <c:numRef>
              <c:f>'Solution 7'!$P$97:$P$116</c:f>
              <c:numCache/>
            </c:numRef>
          </c:val>
          <c:smooth val="0"/>
        </c:ser>
        <c:axId val="1751369796"/>
        <c:axId val="1826948601"/>
      </c:lineChart>
      <c:catAx>
        <c:axId val="1751369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bottom of heat break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948601"/>
      </c:catAx>
      <c:valAx>
        <c:axId val="1826948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369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'Heat Break Performance'!$B$3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'Heat Break Performance'!$B$4:$B$52</c:f>
              <c:numCache/>
            </c:numRef>
          </c:val>
        </c:ser>
        <c:ser>
          <c:idx val="1"/>
          <c:order val="1"/>
          <c:tx>
            <c:strRef>
              <c:f>'Heat Break Performance'!$C$3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'Heat Break Performance'!$C$4:$C$52</c:f>
              <c:numCache/>
            </c:numRef>
          </c:val>
        </c:ser>
        <c:ser>
          <c:idx val="2"/>
          <c:order val="2"/>
          <c:tx>
            <c:strRef>
              <c:f>'Heat Break Performance'!$E$3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'Heat Break Performance'!$E$4:$E$23</c:f>
              <c:numCache/>
            </c:numRef>
          </c:val>
        </c:ser>
        <c:ser>
          <c:idx val="3"/>
          <c:order val="3"/>
          <c:tx>
            <c:strRef>
              <c:f>'Heat Break Performance'!$F$3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'Heat Break Performance'!$F$4:$F$23</c:f>
              <c:numCache/>
            </c:numRef>
          </c:val>
        </c:ser>
        <c:axId val="1635063852"/>
        <c:axId val="108177572"/>
      </c:barChart>
      <c:catAx>
        <c:axId val="1635063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77572"/>
      </c:catAx>
      <c:valAx>
        <c:axId val="108177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063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Temperature vs Distance (m)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'Solution 0'!$J$39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'Solution 0'!$I$40:$I$48</c:f>
            </c:numRef>
          </c:xVal>
          <c:yVal>
            <c:numRef>
              <c:f>'Solution 0'!$J$40:$J$48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74132"/>
        <c:axId val="1543933377"/>
      </c:scatterChart>
      <c:valAx>
        <c:axId val="3911741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933377"/>
      </c:valAx>
      <c:valAx>
        <c:axId val="1543933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174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'Solution 2'!$S$15:$S$42</c:f>
              <c:numCache/>
            </c:numRef>
          </c:val>
        </c:ser>
        <c:axId val="40726222"/>
        <c:axId val="1548829862"/>
      </c:areaChart>
      <c:catAx>
        <c:axId val="40726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829862"/>
      </c:catAx>
      <c:valAx>
        <c:axId val="1548829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262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'Solution 3'!$S$14:$S$44</c:f>
              <c:numCache/>
            </c:numRef>
          </c:val>
        </c:ser>
        <c:axId val="2121528255"/>
        <c:axId val="654169828"/>
      </c:areaChart>
      <c:catAx>
        <c:axId val="2121528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169828"/>
      </c:catAx>
      <c:valAx>
        <c:axId val="654169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5282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'Solution 4'!$S$14:$S$64</c:f>
              <c:numCache/>
            </c:numRef>
          </c:val>
        </c:ser>
        <c:axId val="475379306"/>
        <c:axId val="1602102714"/>
      </c:areaChart>
      <c:catAx>
        <c:axId val="475379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102714"/>
      </c:catAx>
      <c:valAx>
        <c:axId val="1602102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3793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'Solution 5'!$S$14:$S$50</c:f>
              <c:numCache/>
            </c:numRef>
          </c:val>
        </c:ser>
        <c:axId val="1534401540"/>
        <c:axId val="1996567844"/>
      </c:areaChart>
      <c:catAx>
        <c:axId val="1534401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567844"/>
      </c:catAx>
      <c:valAx>
        <c:axId val="1996567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401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'Solution 6'!$S$14:$S$49</c:f>
              <c:numCache/>
            </c:numRef>
          </c:val>
        </c:ser>
        <c:axId val="106819469"/>
        <c:axId val="1379825471"/>
      </c:areaChart>
      <c:catAx>
        <c:axId val="106819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825471"/>
      </c:catAx>
      <c:valAx>
        <c:axId val="1379825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19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'Solution 8'!$S$14:$S$47</c:f>
              <c:numCache/>
            </c:numRef>
          </c:val>
        </c:ser>
        <c:axId val="669649453"/>
        <c:axId val="597689500"/>
      </c:areaChart>
      <c:catAx>
        <c:axId val="669649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689500"/>
      </c:catAx>
      <c:valAx>
        <c:axId val="597689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649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457200</xdr:colOff>
      <xdr:row>13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161925</xdr:colOff>
      <xdr:row>41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24</xdr:col>
      <xdr:colOff>323850</xdr:colOff>
      <xdr:row>41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29</xdr:col>
      <xdr:colOff>923925</xdr:colOff>
      <xdr:row>61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29</xdr:col>
      <xdr:colOff>923925</xdr:colOff>
      <xdr:row>79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24</xdr:col>
      <xdr:colOff>323850</xdr:colOff>
      <xdr:row>58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19</xdr:col>
      <xdr:colOff>104775</xdr:colOff>
      <xdr:row>58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4314825</xdr:colOff>
      <xdr:row>140</xdr:row>
      <xdr:rowOff>9525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7</xdr:col>
      <xdr:colOff>428625</xdr:colOff>
      <xdr:row>158</xdr:row>
      <xdr:rowOff>200025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323850</xdr:colOff>
      <xdr:row>138</xdr:row>
      <xdr:rowOff>47625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13</xdr:col>
      <xdr:colOff>238125</xdr:colOff>
      <xdr:row>116</xdr:row>
      <xdr:rowOff>123825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561975</xdr:colOff>
      <xdr:row>16</xdr:row>
      <xdr:rowOff>142875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1181100</xdr:colOff>
      <xdr:row>40</xdr:row>
      <xdr:rowOff>28575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466725</xdr:colOff>
      <xdr:row>14</xdr:row>
      <xdr:rowOff>133350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457200</xdr:colOff>
      <xdr:row>13</xdr:row>
      <xdr:rowOff>180975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457200</xdr:colOff>
      <xdr:row>13</xdr:row>
      <xdr:rowOff>180975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457200</xdr:colOff>
      <xdr:row>13</xdr:row>
      <xdr:rowOff>180975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457200</xdr:colOff>
      <xdr:row>13</xdr:row>
      <xdr:rowOff>180975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457200</xdr:colOff>
      <xdr:row>13</xdr:row>
      <xdr:rowOff>180975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hapeshop.com.au/prusa/258-prusa-noctua-hotend-fan.html?gclid=Cj0KCQjwoeemBhCfARIsADR2QCtGcNrnMivfEzzaPhzW1v7LOt5xiOQ0VmzSYSMb2OZLXG36vPernXEaAqO4EALw_wcB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shapeshop.com.au/prusa/258-prusa-noctua-hotend-fan.html?gclid=Cj0KCQjwoeemBhCfARIsADR2QCtGcNrnMivfEzzaPhzW1v7LOt5xiOQ0VmzSYSMb2OZLXG36vPernXEaAqO4EALw_wcB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5" max="5" width="38.0"/>
    <col customWidth="1" min="7" max="7" width="15.38"/>
    <col customWidth="1" min="9" max="9" width="41.5"/>
    <col customWidth="1" min="11" max="11" width="15.38"/>
    <col customWidth="1" min="13" max="13" width="43.88"/>
    <col customWidth="1" min="15" max="15" width="13.5"/>
    <col customWidth="1" min="17" max="17" width="42.13"/>
  </cols>
  <sheetData>
    <row r="1">
      <c r="A1" s="1" t="s">
        <v>0</v>
      </c>
      <c r="B1" s="2"/>
      <c r="C1" s="3"/>
      <c r="E1" s="1" t="s">
        <v>1</v>
      </c>
      <c r="F1" s="2"/>
      <c r="G1" s="3"/>
      <c r="I1" s="1" t="s">
        <v>2</v>
      </c>
      <c r="J1" s="2"/>
      <c r="K1" s="3"/>
      <c r="M1" s="1" t="s">
        <v>3</v>
      </c>
      <c r="N1" s="2"/>
      <c r="O1" s="3"/>
      <c r="Q1" s="1" t="s">
        <v>4</v>
      </c>
      <c r="R1" s="2"/>
      <c r="S1" s="3"/>
    </row>
    <row r="2">
      <c r="E2" s="4"/>
      <c r="F2" s="5"/>
      <c r="G2" s="5"/>
      <c r="I2" s="4"/>
      <c r="J2" s="5"/>
      <c r="K2" s="5"/>
      <c r="M2" s="4"/>
      <c r="N2" s="5"/>
      <c r="O2" s="5"/>
    </row>
    <row r="3">
      <c r="A3" s="6" t="s">
        <v>5</v>
      </c>
      <c r="B3" s="7" t="s">
        <v>6</v>
      </c>
      <c r="C3" s="8" t="s">
        <v>7</v>
      </c>
      <c r="E3" s="6" t="s">
        <v>5</v>
      </c>
      <c r="F3" s="7" t="s">
        <v>6</v>
      </c>
      <c r="G3" s="8" t="s">
        <v>7</v>
      </c>
      <c r="I3" s="6" t="s">
        <v>5</v>
      </c>
      <c r="J3" s="7" t="s">
        <v>6</v>
      </c>
      <c r="K3" s="8" t="s">
        <v>7</v>
      </c>
      <c r="M3" s="6" t="s">
        <v>5</v>
      </c>
      <c r="N3" s="7" t="s">
        <v>6</v>
      </c>
      <c r="O3" s="8" t="s">
        <v>7</v>
      </c>
      <c r="Q3" s="6" t="s">
        <v>5</v>
      </c>
      <c r="R3" s="7" t="s">
        <v>6</v>
      </c>
      <c r="S3" s="8" t="s">
        <v>7</v>
      </c>
    </row>
    <row r="4">
      <c r="A4" s="9" t="s">
        <v>8</v>
      </c>
      <c r="B4" s="2"/>
      <c r="C4" s="3"/>
      <c r="E4" s="9" t="s">
        <v>9</v>
      </c>
      <c r="F4" s="2"/>
      <c r="G4" s="3"/>
      <c r="I4" s="9" t="s">
        <v>10</v>
      </c>
      <c r="J4" s="2"/>
      <c r="K4" s="3"/>
      <c r="M4" s="9" t="s">
        <v>10</v>
      </c>
      <c r="N4" s="2"/>
      <c r="O4" s="3"/>
      <c r="Q4" s="10" t="s">
        <v>11</v>
      </c>
      <c r="R4" s="11"/>
      <c r="S4" s="12"/>
    </row>
    <row r="5">
      <c r="A5" s="13" t="s">
        <v>12</v>
      </c>
      <c r="B5" s="14" t="s">
        <v>13</v>
      </c>
      <c r="C5" s="15">
        <v>8.2</v>
      </c>
      <c r="E5" s="16" t="s">
        <v>14</v>
      </c>
      <c r="F5" s="16" t="s">
        <v>15</v>
      </c>
      <c r="G5" s="16">
        <f>C5/3600</f>
        <v>0.002277777778</v>
      </c>
      <c r="I5" s="16" t="s">
        <v>16</v>
      </c>
      <c r="J5" s="17" t="s">
        <v>17</v>
      </c>
      <c r="K5" s="18">
        <f>C11</f>
        <v>9.81</v>
      </c>
      <c r="M5" s="16" t="s">
        <v>16</v>
      </c>
      <c r="N5" s="17" t="s">
        <v>17</v>
      </c>
      <c r="O5" s="18">
        <f>C18</f>
        <v>9.81</v>
      </c>
      <c r="Q5" s="19" t="s">
        <v>18</v>
      </c>
      <c r="R5" s="16" t="s">
        <v>19</v>
      </c>
      <c r="S5" s="20">
        <f>O34</f>
        <v>4.504503146</v>
      </c>
    </row>
    <row r="6">
      <c r="A6" s="13" t="s">
        <v>20</v>
      </c>
      <c r="B6" s="14" t="s">
        <v>21</v>
      </c>
      <c r="C6" s="21">
        <f>37</f>
        <v>37</v>
      </c>
      <c r="E6" s="14" t="s">
        <v>20</v>
      </c>
      <c r="F6" s="14" t="s">
        <v>22</v>
      </c>
      <c r="G6" s="22">
        <f>C6/1000</f>
        <v>0.037</v>
      </c>
      <c r="I6" s="14" t="s">
        <v>23</v>
      </c>
      <c r="J6" s="14" t="s">
        <v>24</v>
      </c>
      <c r="K6" s="18">
        <f t="shared" ref="K6:K7" si="1">C12+273</f>
        <v>503</v>
      </c>
      <c r="M6" s="14" t="s">
        <v>23</v>
      </c>
      <c r="N6" s="14" t="s">
        <v>24</v>
      </c>
      <c r="O6" s="18">
        <f t="shared" ref="O6:O7" si="2">C19+273</f>
        <v>503</v>
      </c>
      <c r="Q6" s="13" t="s">
        <v>25</v>
      </c>
      <c r="R6" s="14" t="s">
        <v>19</v>
      </c>
      <c r="S6" s="23">
        <f>K34</f>
        <v>5.519500293</v>
      </c>
    </row>
    <row r="7">
      <c r="A7" s="13" t="s">
        <v>26</v>
      </c>
      <c r="B7" s="14" t="s">
        <v>21</v>
      </c>
      <c r="C7" s="21">
        <v>7.0</v>
      </c>
      <c r="E7" s="14" t="s">
        <v>27</v>
      </c>
      <c r="F7" s="14" t="s">
        <v>28</v>
      </c>
      <c r="G7" s="22">
        <f>pi()*(G6/2)^2 </f>
        <v>0.001075210086</v>
      </c>
      <c r="I7" s="14" t="s">
        <v>29</v>
      </c>
      <c r="J7" s="14" t="s">
        <v>24</v>
      </c>
      <c r="K7" s="18">
        <f t="shared" si="1"/>
        <v>295</v>
      </c>
      <c r="M7" s="14" t="s">
        <v>29</v>
      </c>
      <c r="N7" s="14" t="s">
        <v>24</v>
      </c>
      <c r="O7" s="18">
        <f t="shared" si="2"/>
        <v>295</v>
      </c>
      <c r="Q7" s="24" t="s">
        <v>30</v>
      </c>
      <c r="R7" s="25" t="s">
        <v>19</v>
      </c>
      <c r="S7" s="26">
        <f>G33</f>
        <v>54.43080556</v>
      </c>
    </row>
    <row r="8">
      <c r="A8" s="13" t="s">
        <v>31</v>
      </c>
      <c r="B8" s="14" t="s">
        <v>21</v>
      </c>
      <c r="C8" s="21">
        <v>1.0</v>
      </c>
      <c r="E8" s="14" t="s">
        <v>26</v>
      </c>
      <c r="F8" s="13" t="s">
        <v>22</v>
      </c>
      <c r="G8" s="22">
        <f t="shared" ref="G8:G9" si="3">C7/1000</f>
        <v>0.007</v>
      </c>
      <c r="I8" s="14" t="s">
        <v>32</v>
      </c>
      <c r="J8" s="14" t="s">
        <v>15</v>
      </c>
      <c r="K8" s="18">
        <f>1/C34</f>
        <v>0.002506265664</v>
      </c>
      <c r="M8" s="14" t="s">
        <v>32</v>
      </c>
      <c r="N8" s="14" t="s">
        <v>15</v>
      </c>
      <c r="O8" s="18">
        <f>1/C34</f>
        <v>0.002506265664</v>
      </c>
      <c r="S8" s="27">
        <f>AVERAGE(S5:S6)</f>
        <v>5.012001719</v>
      </c>
    </row>
    <row r="9">
      <c r="A9" s="13" t="s">
        <v>33</v>
      </c>
      <c r="B9" s="14" t="s">
        <v>34</v>
      </c>
      <c r="C9" s="21">
        <v>22.0</v>
      </c>
      <c r="E9" s="14" t="s">
        <v>31</v>
      </c>
      <c r="F9" s="13" t="s">
        <v>22</v>
      </c>
      <c r="G9" s="22">
        <f t="shared" si="3"/>
        <v>0.001</v>
      </c>
      <c r="I9" s="14" t="s">
        <v>35</v>
      </c>
      <c r="J9" s="14" t="s">
        <v>22</v>
      </c>
      <c r="K9" s="18">
        <f t="shared" ref="K9:K11" si="4">C14/1000</f>
        <v>0.001</v>
      </c>
      <c r="M9" s="14" t="s">
        <v>36</v>
      </c>
      <c r="N9" s="14" t="s">
        <v>22</v>
      </c>
      <c r="O9" s="18">
        <f t="shared" ref="O9:O11" si="5">C21/1000</f>
        <v>0.023</v>
      </c>
    </row>
    <row r="10">
      <c r="A10" s="9" t="s">
        <v>37</v>
      </c>
      <c r="B10" s="2"/>
      <c r="C10" s="3"/>
      <c r="E10" s="14" t="s">
        <v>38</v>
      </c>
      <c r="F10" s="13" t="s">
        <v>28</v>
      </c>
      <c r="G10" s="22">
        <f>G9*G8*22</f>
        <v>0.000154</v>
      </c>
      <c r="I10" s="14" t="s">
        <v>39</v>
      </c>
      <c r="J10" s="14" t="s">
        <v>22</v>
      </c>
      <c r="K10" s="18">
        <f t="shared" si="4"/>
        <v>0.0035</v>
      </c>
      <c r="M10" s="14" t="s">
        <v>40</v>
      </c>
      <c r="N10" s="14" t="s">
        <v>22</v>
      </c>
      <c r="O10" s="18">
        <f t="shared" si="5"/>
        <v>0.016</v>
      </c>
    </row>
    <row r="11">
      <c r="A11" s="16" t="s">
        <v>16</v>
      </c>
      <c r="B11" s="17" t="s">
        <v>17</v>
      </c>
      <c r="C11" s="21">
        <v>9.81</v>
      </c>
      <c r="E11" s="28" t="s">
        <v>41</v>
      </c>
      <c r="F11" s="28" t="s">
        <v>42</v>
      </c>
      <c r="G11" s="29">
        <f>G5/G7 * G7 /G10</f>
        <v>14.79076479</v>
      </c>
      <c r="I11" s="14" t="s">
        <v>43</v>
      </c>
      <c r="J11" s="14" t="s">
        <v>22</v>
      </c>
      <c r="K11" s="18">
        <f t="shared" si="4"/>
        <v>0.006</v>
      </c>
      <c r="M11" s="14" t="s">
        <v>44</v>
      </c>
      <c r="N11" s="14" t="s">
        <v>22</v>
      </c>
      <c r="O11" s="18">
        <f t="shared" si="5"/>
        <v>0.00148</v>
      </c>
    </row>
    <row r="12">
      <c r="A12" s="14" t="s">
        <v>23</v>
      </c>
      <c r="B12" s="14" t="s">
        <v>45</v>
      </c>
      <c r="C12" s="21">
        <f>230</f>
        <v>230</v>
      </c>
      <c r="E12" s="9" t="s">
        <v>46</v>
      </c>
      <c r="F12" s="2"/>
      <c r="G12" s="3"/>
      <c r="I12" s="13" t="s">
        <v>47</v>
      </c>
      <c r="J12" s="14" t="s">
        <v>28</v>
      </c>
      <c r="K12" s="18">
        <f>pi()*(K10^2-K9^2)</f>
        <v>0.00003534291735</v>
      </c>
      <c r="M12" s="13" t="s">
        <v>47</v>
      </c>
      <c r="N12" s="14" t="s">
        <v>28</v>
      </c>
      <c r="O12" s="18">
        <f>O10*O9-pi()*(O11)^2</f>
        <v>0.0003611186555</v>
      </c>
    </row>
    <row r="13">
      <c r="A13" s="14" t="s">
        <v>29</v>
      </c>
      <c r="B13" s="14" t="s">
        <v>45</v>
      </c>
      <c r="C13" s="21">
        <f>22</f>
        <v>22</v>
      </c>
      <c r="E13" s="13" t="s">
        <v>48</v>
      </c>
      <c r="F13" s="14" t="s">
        <v>49</v>
      </c>
      <c r="G13" s="18">
        <f t="shared" ref="G13:G15" si="6">C42</f>
        <v>0.0000263002</v>
      </c>
      <c r="I13" s="13" t="s">
        <v>50</v>
      </c>
      <c r="J13" s="14" t="s">
        <v>22</v>
      </c>
      <c r="K13" s="18">
        <f>2*pi()*K9+2*pi()*K10</f>
        <v>0.02827433388</v>
      </c>
      <c r="M13" s="13" t="s">
        <v>50</v>
      </c>
      <c r="N13" s="14" t="s">
        <v>22</v>
      </c>
      <c r="O13" s="18">
        <f>2*(O10+O9)+2*pi()*O11</f>
        <v>0.08729911425</v>
      </c>
    </row>
    <row r="14">
      <c r="A14" s="14" t="s">
        <v>35</v>
      </c>
      <c r="B14" s="14" t="s">
        <v>21</v>
      </c>
      <c r="C14" s="21">
        <v>1.0</v>
      </c>
      <c r="E14" s="13" t="s">
        <v>51</v>
      </c>
      <c r="F14" s="14" t="s">
        <v>52</v>
      </c>
      <c r="G14" s="18">
        <f t="shared" si="6"/>
        <v>0.033724</v>
      </c>
      <c r="I14" s="13" t="s">
        <v>53</v>
      </c>
      <c r="J14" s="14" t="s">
        <v>22</v>
      </c>
      <c r="K14" s="18">
        <f>K12/K13</f>
        <v>0.00125</v>
      </c>
      <c r="M14" s="13" t="s">
        <v>53</v>
      </c>
      <c r="N14" s="14" t="s">
        <v>22</v>
      </c>
      <c r="O14" s="18">
        <f>O12/O13</f>
        <v>0.004136567232</v>
      </c>
    </row>
    <row r="15">
      <c r="A15" s="13" t="s">
        <v>39</v>
      </c>
      <c r="B15" s="14" t="s">
        <v>21</v>
      </c>
      <c r="C15" s="30">
        <v>3.5</v>
      </c>
      <c r="E15" s="13" t="s">
        <v>54</v>
      </c>
      <c r="F15" s="14" t="s">
        <v>55</v>
      </c>
      <c r="G15" s="18">
        <f t="shared" si="6"/>
        <v>0.873578</v>
      </c>
      <c r="I15" s="13" t="s">
        <v>48</v>
      </c>
      <c r="J15" s="14" t="s">
        <v>49</v>
      </c>
      <c r="K15" s="18">
        <f>C42</f>
        <v>0.0000263002</v>
      </c>
      <c r="M15" s="13" t="s">
        <v>48</v>
      </c>
      <c r="N15" s="14" t="s">
        <v>49</v>
      </c>
      <c r="O15" s="18">
        <f>C46</f>
        <v>0.0000229662</v>
      </c>
    </row>
    <row r="16">
      <c r="A16" s="24" t="s">
        <v>43</v>
      </c>
      <c r="B16" s="25" t="s">
        <v>21</v>
      </c>
      <c r="C16" s="31">
        <v>6.0</v>
      </c>
      <c r="E16" s="13" t="s">
        <v>56</v>
      </c>
      <c r="F16" s="14" t="s">
        <v>57</v>
      </c>
      <c r="G16" s="18">
        <f>C45*1000</f>
        <v>1013.9</v>
      </c>
      <c r="I16" s="32" t="s">
        <v>58</v>
      </c>
      <c r="J16" s="33" t="s">
        <v>59</v>
      </c>
      <c r="K16" s="34">
        <f>(K5*K8*(K6-K7)*(K14^3))/((K15^2))</f>
        <v>14.44013932</v>
      </c>
      <c r="M16" s="32" t="s">
        <v>58</v>
      </c>
      <c r="N16" s="33" t="s">
        <v>59</v>
      </c>
      <c r="O16" s="34">
        <f>(O5*O8*(O6-O7)*(O14^3))/((O15^2))</f>
        <v>686.2801283</v>
      </c>
    </row>
    <row r="17">
      <c r="A17" s="9" t="s">
        <v>60</v>
      </c>
      <c r="B17" s="2"/>
      <c r="C17" s="3"/>
      <c r="E17" s="13" t="s">
        <v>61</v>
      </c>
      <c r="F17" s="14" t="s">
        <v>49</v>
      </c>
      <c r="G17" s="18">
        <f>(G14)/(G15*G16)</f>
        <v>0.00003807520666</v>
      </c>
      <c r="I17" s="9" t="s">
        <v>46</v>
      </c>
      <c r="J17" s="2"/>
      <c r="K17" s="3"/>
      <c r="M17" s="9" t="s">
        <v>46</v>
      </c>
      <c r="N17" s="2"/>
      <c r="O17" s="3"/>
    </row>
    <row r="18">
      <c r="A18" s="16" t="s">
        <v>16</v>
      </c>
      <c r="B18" s="17" t="s">
        <v>17</v>
      </c>
      <c r="C18" s="35">
        <f>C11</f>
        <v>9.81</v>
      </c>
      <c r="E18" s="32" t="s">
        <v>62</v>
      </c>
      <c r="F18" s="33" t="s">
        <v>59</v>
      </c>
      <c r="G18" s="34">
        <f>G13/G17</f>
        <v>0.6907434603</v>
      </c>
      <c r="I18" s="13" t="s">
        <v>48</v>
      </c>
      <c r="J18" s="16" t="s">
        <v>49</v>
      </c>
      <c r="K18" s="36">
        <f t="shared" ref="K18:K20" si="7">C42</f>
        <v>0.0000263002</v>
      </c>
      <c r="M18" s="13" t="s">
        <v>48</v>
      </c>
      <c r="N18" s="16" t="s">
        <v>49</v>
      </c>
      <c r="O18" s="36">
        <f t="shared" ref="O18:O20" si="8">C42</f>
        <v>0.0000263002</v>
      </c>
    </row>
    <row r="19">
      <c r="A19" s="14" t="s">
        <v>23</v>
      </c>
      <c r="B19" s="14" t="s">
        <v>45</v>
      </c>
      <c r="C19" s="21">
        <f>230</f>
        <v>230</v>
      </c>
      <c r="E19" s="9" t="s">
        <v>63</v>
      </c>
      <c r="F19" s="2"/>
      <c r="G19" s="3"/>
      <c r="I19" s="13" t="s">
        <v>64</v>
      </c>
      <c r="J19" s="14" t="s">
        <v>52</v>
      </c>
      <c r="K19" s="37">
        <f t="shared" si="7"/>
        <v>0.033724</v>
      </c>
      <c r="M19" s="13" t="s">
        <v>64</v>
      </c>
      <c r="N19" s="14" t="s">
        <v>52</v>
      </c>
      <c r="O19" s="37">
        <f t="shared" si="8"/>
        <v>0.033724</v>
      </c>
    </row>
    <row r="20">
      <c r="A20" s="13" t="s">
        <v>29</v>
      </c>
      <c r="B20" s="14" t="s">
        <v>45</v>
      </c>
      <c r="C20" s="21">
        <f>22</f>
        <v>22</v>
      </c>
      <c r="E20" s="13" t="s">
        <v>54</v>
      </c>
      <c r="F20" s="14" t="s">
        <v>55</v>
      </c>
      <c r="G20" s="18">
        <f>C44</f>
        <v>0.873578</v>
      </c>
      <c r="I20" s="13" t="s">
        <v>54</v>
      </c>
      <c r="J20" s="14" t="s">
        <v>55</v>
      </c>
      <c r="K20" s="18">
        <f t="shared" si="7"/>
        <v>0.873578</v>
      </c>
      <c r="M20" s="13" t="s">
        <v>54</v>
      </c>
      <c r="N20" s="14" t="s">
        <v>55</v>
      </c>
      <c r="O20" s="18">
        <f t="shared" si="8"/>
        <v>0.873578</v>
      </c>
    </row>
    <row r="21">
      <c r="A21" s="13" t="s">
        <v>65</v>
      </c>
      <c r="B21" s="14" t="s">
        <v>21</v>
      </c>
      <c r="C21" s="30">
        <v>23.0</v>
      </c>
      <c r="E21" s="13" t="s">
        <v>66</v>
      </c>
      <c r="F21" s="14" t="s">
        <v>42</v>
      </c>
      <c r="G21" s="18">
        <f>G11</f>
        <v>14.79076479</v>
      </c>
      <c r="I21" s="13" t="s">
        <v>67</v>
      </c>
      <c r="J21" s="14" t="s">
        <v>57</v>
      </c>
      <c r="K21" s="18">
        <f>C45*1000</f>
        <v>1013.9</v>
      </c>
      <c r="M21" s="13" t="s">
        <v>67</v>
      </c>
      <c r="N21" s="14" t="s">
        <v>57</v>
      </c>
      <c r="O21" s="18">
        <f>C45*1000</f>
        <v>1013.9</v>
      </c>
    </row>
    <row r="22">
      <c r="A22" s="13" t="s">
        <v>68</v>
      </c>
      <c r="B22" s="14" t="s">
        <v>21</v>
      </c>
      <c r="C22" s="30">
        <v>16.0</v>
      </c>
      <c r="E22" s="13" t="s">
        <v>69</v>
      </c>
      <c r="F22" s="14" t="s">
        <v>22</v>
      </c>
      <c r="G22" s="18">
        <f>(C28*2)/1000</f>
        <v>0.022</v>
      </c>
      <c r="I22" s="13" t="s">
        <v>61</v>
      </c>
      <c r="J22" s="14" t="s">
        <v>49</v>
      </c>
      <c r="K22" s="18">
        <f>(K19)/(K20*K21)</f>
        <v>0.00003807520666</v>
      </c>
      <c r="M22" s="13" t="s">
        <v>61</v>
      </c>
      <c r="N22" s="14" t="s">
        <v>49</v>
      </c>
      <c r="O22" s="18">
        <f>(O19)/(O20*O21)</f>
        <v>0.00003807520666</v>
      </c>
    </row>
    <row r="23">
      <c r="A23" s="14" t="s">
        <v>44</v>
      </c>
      <c r="B23" s="14" t="s">
        <v>21</v>
      </c>
      <c r="C23" s="30">
        <v>1.48</v>
      </c>
      <c r="E23" s="13" t="s">
        <v>70</v>
      </c>
      <c r="F23" s="14" t="s">
        <v>71</v>
      </c>
      <c r="G23" s="18">
        <f>C46</f>
        <v>0.0000229662</v>
      </c>
      <c r="I23" s="32" t="s">
        <v>62</v>
      </c>
      <c r="J23" s="33" t="s">
        <v>59</v>
      </c>
      <c r="K23" s="38">
        <f>K18/K22</f>
        <v>0.6907434603</v>
      </c>
      <c r="M23" s="32" t="s">
        <v>62</v>
      </c>
      <c r="N23" s="33" t="s">
        <v>59</v>
      </c>
      <c r="O23" s="39">
        <f>O18/O22</f>
        <v>0.6907434603</v>
      </c>
    </row>
    <row r="24">
      <c r="A24" s="24" t="s">
        <v>43</v>
      </c>
      <c r="B24" s="25" t="s">
        <v>21</v>
      </c>
      <c r="C24" s="31">
        <v>11.5</v>
      </c>
      <c r="E24" s="32" t="s">
        <v>72</v>
      </c>
      <c r="F24" s="33" t="s">
        <v>59</v>
      </c>
      <c r="G24" s="34">
        <f>(G20*G21*G22)/(G23)</f>
        <v>12377.29829</v>
      </c>
      <c r="I24" s="9" t="s">
        <v>73</v>
      </c>
      <c r="J24" s="2"/>
      <c r="K24" s="3"/>
      <c r="M24" s="9" t="s">
        <v>73</v>
      </c>
      <c r="N24" s="2"/>
      <c r="O24" s="3"/>
    </row>
    <row r="25">
      <c r="A25" s="9" t="s">
        <v>74</v>
      </c>
      <c r="B25" s="2"/>
      <c r="C25" s="3"/>
      <c r="E25" s="9" t="s">
        <v>75</v>
      </c>
      <c r="F25" s="2"/>
      <c r="G25" s="3"/>
      <c r="I25" s="32" t="s">
        <v>76</v>
      </c>
      <c r="J25" s="33" t="s">
        <v>59</v>
      </c>
      <c r="K25" s="34">
        <f>K16*K23</f>
        <v>9.974431803</v>
      </c>
      <c r="M25" s="32" t="s">
        <v>76</v>
      </c>
      <c r="N25" s="33" t="s">
        <v>59</v>
      </c>
      <c r="O25" s="34">
        <f>O16*O23</f>
        <v>474.0435105</v>
      </c>
    </row>
    <row r="26">
      <c r="A26" s="19" t="s">
        <v>35</v>
      </c>
      <c r="B26" s="16" t="s">
        <v>21</v>
      </c>
      <c r="C26" s="40">
        <f>average(2.1,3.5)</f>
        <v>2.8</v>
      </c>
      <c r="E26" s="41" t="s">
        <v>77</v>
      </c>
      <c r="F26" s="2"/>
      <c r="G26" s="3"/>
      <c r="I26" s="9" t="s">
        <v>75</v>
      </c>
      <c r="J26" s="2"/>
      <c r="K26" s="3"/>
      <c r="M26" s="9" t="s">
        <v>75</v>
      </c>
      <c r="N26" s="2"/>
      <c r="O26" s="3"/>
    </row>
    <row r="27">
      <c r="A27" s="13" t="s">
        <v>78</v>
      </c>
      <c r="B27" s="14" t="s">
        <v>21</v>
      </c>
      <c r="C27" s="30">
        <v>4.0</v>
      </c>
      <c r="E27" s="13" t="s">
        <v>79</v>
      </c>
      <c r="F27" s="13" t="s">
        <v>80</v>
      </c>
      <c r="G27" s="42"/>
      <c r="I27" s="41" t="s">
        <v>77</v>
      </c>
      <c r="J27" s="2"/>
      <c r="K27" s="3"/>
      <c r="M27" s="41" t="s">
        <v>77</v>
      </c>
      <c r="N27" s="2"/>
      <c r="O27" s="3"/>
    </row>
    <row r="28">
      <c r="A28" s="13" t="s">
        <v>39</v>
      </c>
      <c r="B28" s="14" t="s">
        <v>21</v>
      </c>
      <c r="C28" s="30">
        <v>11.0</v>
      </c>
      <c r="E28" s="13" t="s">
        <v>81</v>
      </c>
      <c r="F28" s="41" t="s">
        <v>82</v>
      </c>
      <c r="G28" s="3"/>
      <c r="I28" s="13" t="s">
        <v>79</v>
      </c>
      <c r="J28" s="13" t="s">
        <v>83</v>
      </c>
      <c r="K28" s="42"/>
      <c r="M28" s="13" t="s">
        <v>79</v>
      </c>
      <c r="N28" s="13" t="s">
        <v>84</v>
      </c>
      <c r="O28" s="42"/>
    </row>
    <row r="29">
      <c r="A29" s="13" t="s">
        <v>85</v>
      </c>
      <c r="B29" s="14" t="s">
        <v>21</v>
      </c>
      <c r="C29" s="30">
        <v>1.0</v>
      </c>
      <c r="E29" s="43" t="s">
        <v>86</v>
      </c>
      <c r="F29" s="14" t="s">
        <v>59</v>
      </c>
      <c r="G29" s="18">
        <f>0.3+(0.62*(G24^(1/2))*(G18^(1/3))*((1+(0.4/G18)^(2/3))^(-1/4))*((1+(G24/282000)^(5/8))^(4/5)))</f>
        <v>59.71829574</v>
      </c>
      <c r="I29" s="13" t="s">
        <v>87</v>
      </c>
      <c r="J29" s="41" t="s">
        <v>88</v>
      </c>
      <c r="K29" s="3"/>
      <c r="M29" s="13" t="s">
        <v>87</v>
      </c>
      <c r="N29" s="41" t="s">
        <v>89</v>
      </c>
      <c r="O29" s="3"/>
    </row>
    <row r="30">
      <c r="A30" s="24" t="s">
        <v>90</v>
      </c>
      <c r="B30" s="25" t="s">
        <v>21</v>
      </c>
      <c r="C30" s="31">
        <v>1.0</v>
      </c>
      <c r="E30" s="9" t="s">
        <v>91</v>
      </c>
      <c r="F30" s="2"/>
      <c r="G30" s="3"/>
      <c r="I30" s="44" t="s">
        <v>86</v>
      </c>
      <c r="J30" s="33" t="s">
        <v>59</v>
      </c>
      <c r="K30" s="34">
        <f>(0.6+((0.387*(K25)^(1/6))/(1+(0.559/K23)^(9/16))^(8/27)))^(2)</f>
        <v>1.145667835</v>
      </c>
      <c r="M30" s="44" t="s">
        <v>86</v>
      </c>
      <c r="N30" s="33" t="s">
        <v>59</v>
      </c>
      <c r="O30" s="34">
        <f>0.68+((0.67*(O25)^(1/4))/(1+(0.492/O23)^(9/16))^(4/9))</f>
        <v>3.072102133</v>
      </c>
    </row>
    <row r="31">
      <c r="A31" s="9" t="s">
        <v>92</v>
      </c>
      <c r="B31" s="2"/>
      <c r="C31" s="3"/>
      <c r="E31" s="13" t="s">
        <v>69</v>
      </c>
      <c r="F31" s="16" t="s">
        <v>22</v>
      </c>
      <c r="G31" s="45">
        <f>C6/1000</f>
        <v>0.037</v>
      </c>
      <c r="I31" s="9" t="s">
        <v>91</v>
      </c>
      <c r="J31" s="2"/>
      <c r="K31" s="3"/>
      <c r="M31" s="9" t="s">
        <v>91</v>
      </c>
      <c r="N31" s="2"/>
      <c r="O31" s="3"/>
    </row>
    <row r="32">
      <c r="A32" s="14" t="s">
        <v>23</v>
      </c>
      <c r="B32" s="17" t="s">
        <v>24</v>
      </c>
      <c r="C32" s="21">
        <f t="shared" ref="C32:C33" si="9">C19+273</f>
        <v>503</v>
      </c>
      <c r="E32" s="13" t="s">
        <v>64</v>
      </c>
      <c r="F32" s="14" t="s">
        <v>52</v>
      </c>
      <c r="G32" s="18">
        <f>C43</f>
        <v>0.033724</v>
      </c>
      <c r="I32" s="13" t="s">
        <v>93</v>
      </c>
      <c r="J32" s="16" t="s">
        <v>22</v>
      </c>
      <c r="K32" s="45">
        <f>C15*2/1000</f>
        <v>0.007</v>
      </c>
      <c r="M32" s="19" t="s">
        <v>94</v>
      </c>
      <c r="N32" s="16" t="s">
        <v>22</v>
      </c>
      <c r="O32" s="45">
        <f>O9</f>
        <v>0.023</v>
      </c>
    </row>
    <row r="33">
      <c r="A33" s="13" t="s">
        <v>29</v>
      </c>
      <c r="B33" s="14" t="s">
        <v>24</v>
      </c>
      <c r="C33" s="21">
        <f t="shared" si="9"/>
        <v>295</v>
      </c>
      <c r="E33" s="46" t="s">
        <v>95</v>
      </c>
      <c r="F33" s="28" t="s">
        <v>19</v>
      </c>
      <c r="G33" s="47">
        <f>G29*G32/G31</f>
        <v>54.43080556</v>
      </c>
      <c r="I33" s="13" t="s">
        <v>64</v>
      </c>
      <c r="J33" s="14" t="s">
        <v>52</v>
      </c>
      <c r="K33" s="18">
        <f>C43</f>
        <v>0.033724</v>
      </c>
      <c r="M33" s="13" t="s">
        <v>64</v>
      </c>
      <c r="N33" s="14" t="s">
        <v>52</v>
      </c>
      <c r="O33" s="18">
        <f>C43</f>
        <v>0.033724</v>
      </c>
    </row>
    <row r="34">
      <c r="A34" s="14" t="s">
        <v>92</v>
      </c>
      <c r="B34" s="14" t="s">
        <v>24</v>
      </c>
      <c r="C34" s="48">
        <f>AVERAGE(C32:C33)</f>
        <v>399</v>
      </c>
      <c r="I34" s="46" t="s">
        <v>95</v>
      </c>
      <c r="J34" s="28" t="s">
        <v>19</v>
      </c>
      <c r="K34" s="47">
        <f>K30*K33/K32</f>
        <v>5.519500293</v>
      </c>
      <c r="M34" s="46" t="s">
        <v>95</v>
      </c>
      <c r="N34" s="28" t="s">
        <v>19</v>
      </c>
      <c r="O34" s="47">
        <f>O30*O33/O32</f>
        <v>4.504503146</v>
      </c>
    </row>
    <row r="35">
      <c r="A35" s="9" t="s">
        <v>96</v>
      </c>
      <c r="B35" s="2"/>
      <c r="C35" s="3"/>
    </row>
    <row r="36">
      <c r="A36" s="19" t="s">
        <v>48</v>
      </c>
      <c r="B36" s="16" t="s">
        <v>49</v>
      </c>
      <c r="C36" s="35">
        <v>1.524E-5</v>
      </c>
    </row>
    <row r="37">
      <c r="A37" s="13" t="s">
        <v>51</v>
      </c>
      <c r="B37" s="14" t="s">
        <v>52</v>
      </c>
      <c r="C37" s="21">
        <v>0.02582</v>
      </c>
    </row>
    <row r="38">
      <c r="A38" s="13" t="s">
        <v>54</v>
      </c>
      <c r="B38" s="14" t="s">
        <v>55</v>
      </c>
      <c r="C38" s="21">
        <v>1.196</v>
      </c>
    </row>
    <row r="39">
      <c r="A39" s="13" t="s">
        <v>56</v>
      </c>
      <c r="B39" s="14" t="s">
        <v>97</v>
      </c>
      <c r="C39" s="21">
        <f>1.006</f>
        <v>1.006</v>
      </c>
    </row>
    <row r="40">
      <c r="A40" s="24" t="s">
        <v>70</v>
      </c>
      <c r="B40" s="25" t="s">
        <v>71</v>
      </c>
      <c r="C40" s="49">
        <v>1.822E-5</v>
      </c>
    </row>
    <row r="41">
      <c r="A41" s="9" t="s">
        <v>98</v>
      </c>
      <c r="B41" s="2"/>
      <c r="C41" s="3"/>
    </row>
    <row r="42">
      <c r="A42" s="19" t="s">
        <v>48</v>
      </c>
      <c r="B42" s="16" t="s">
        <v>49</v>
      </c>
      <c r="C42" s="40">
        <f>0.0000263002</f>
        <v>0.0000263002</v>
      </c>
    </row>
    <row r="43">
      <c r="A43" s="13" t="s">
        <v>51</v>
      </c>
      <c r="B43" s="14" t="s">
        <v>52</v>
      </c>
      <c r="C43" s="21">
        <f>0.033724</f>
        <v>0.033724</v>
      </c>
      <c r="D43" s="27">
        <f>C42*C44</f>
        <v>0.00002297527612</v>
      </c>
    </row>
    <row r="44">
      <c r="A44" s="13" t="s">
        <v>54</v>
      </c>
      <c r="B44" s="14" t="s">
        <v>55</v>
      </c>
      <c r="C44" s="21">
        <f>0.873578</f>
        <v>0.873578</v>
      </c>
    </row>
    <row r="45">
      <c r="A45" s="13" t="s">
        <v>56</v>
      </c>
      <c r="B45" s="14" t="s">
        <v>97</v>
      </c>
      <c r="C45" s="21">
        <f>1.0139</f>
        <v>1.0139</v>
      </c>
    </row>
    <row r="46">
      <c r="A46" s="24" t="s">
        <v>70</v>
      </c>
      <c r="B46" s="25" t="s">
        <v>71</v>
      </c>
      <c r="C46" s="49">
        <f>0.0000229662</f>
        <v>0.0000229662</v>
      </c>
    </row>
  </sheetData>
  <mergeCells count="37">
    <mergeCell ref="A1:C1"/>
    <mergeCell ref="E1:G1"/>
    <mergeCell ref="I1:K1"/>
    <mergeCell ref="M1:O1"/>
    <mergeCell ref="Q1:S1"/>
    <mergeCell ref="A4:C4"/>
    <mergeCell ref="E4:G4"/>
    <mergeCell ref="Q4:S4"/>
    <mergeCell ref="I4:K4"/>
    <mergeCell ref="M4:O4"/>
    <mergeCell ref="A10:C10"/>
    <mergeCell ref="E12:G12"/>
    <mergeCell ref="A17:C17"/>
    <mergeCell ref="M17:O17"/>
    <mergeCell ref="E19:G19"/>
    <mergeCell ref="I17:K17"/>
    <mergeCell ref="I24:K24"/>
    <mergeCell ref="M24:O24"/>
    <mergeCell ref="A25:C25"/>
    <mergeCell ref="E25:G25"/>
    <mergeCell ref="I26:K26"/>
    <mergeCell ref="M26:O26"/>
    <mergeCell ref="N28:O28"/>
    <mergeCell ref="N29:O29"/>
    <mergeCell ref="E30:G30"/>
    <mergeCell ref="A31:C31"/>
    <mergeCell ref="I31:K31"/>
    <mergeCell ref="M31:O31"/>
    <mergeCell ref="A35:C35"/>
    <mergeCell ref="A41:C41"/>
    <mergeCell ref="E26:G26"/>
    <mergeCell ref="F27:G27"/>
    <mergeCell ref="I27:K27"/>
    <mergeCell ref="M27:O27"/>
    <mergeCell ref="F28:G28"/>
    <mergeCell ref="J28:K28"/>
    <mergeCell ref="J29:K29"/>
  </mergeCells>
  <hyperlinks>
    <hyperlink r:id="rId2" ref="C5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5" max="5" width="69.5"/>
    <col customWidth="1" min="9" max="9" width="72.63"/>
    <col customWidth="1" min="13" max="13" width="38.88"/>
    <col customWidth="1" min="17" max="17" width="29.0"/>
    <col customWidth="1" min="21" max="21" width="19.88"/>
    <col customWidth="1" min="24" max="24" width="18.0"/>
    <col customWidth="1" min="26" max="26" width="30.13"/>
    <col customWidth="1" min="32" max="32" width="30.13"/>
  </cols>
  <sheetData>
    <row r="2">
      <c r="A2" s="1" t="s">
        <v>0</v>
      </c>
      <c r="B2" s="2"/>
      <c r="C2" s="3"/>
      <c r="E2" s="1" t="s">
        <v>99</v>
      </c>
      <c r="F2" s="2"/>
      <c r="G2" s="3"/>
      <c r="I2" s="1" t="s">
        <v>100</v>
      </c>
      <c r="J2" s="2"/>
      <c r="K2" s="3"/>
      <c r="M2" s="1" t="s">
        <v>101</v>
      </c>
      <c r="N2" s="2"/>
      <c r="O2" s="3"/>
      <c r="Q2" s="1" t="s">
        <v>102</v>
      </c>
      <c r="R2" s="2"/>
      <c r="S2" s="3"/>
    </row>
    <row r="4">
      <c r="A4" s="50" t="s">
        <v>5</v>
      </c>
      <c r="B4" s="7" t="s">
        <v>6</v>
      </c>
      <c r="C4" s="51" t="s">
        <v>7</v>
      </c>
      <c r="E4" s="50" t="s">
        <v>5</v>
      </c>
      <c r="F4" s="7" t="s">
        <v>6</v>
      </c>
      <c r="G4" s="51" t="s">
        <v>7</v>
      </c>
      <c r="I4" s="50" t="s">
        <v>5</v>
      </c>
      <c r="J4" s="7" t="s">
        <v>6</v>
      </c>
      <c r="K4" s="51" t="s">
        <v>7</v>
      </c>
      <c r="M4" s="50" t="s">
        <v>5</v>
      </c>
      <c r="N4" s="7" t="s">
        <v>6</v>
      </c>
      <c r="O4" s="51" t="s">
        <v>7</v>
      </c>
      <c r="Q4" s="50" t="s">
        <v>5</v>
      </c>
      <c r="R4" s="7" t="s">
        <v>6</v>
      </c>
      <c r="S4" s="51" t="s">
        <v>7</v>
      </c>
    </row>
    <row r="5">
      <c r="A5" s="52" t="s">
        <v>103</v>
      </c>
      <c r="C5" s="42"/>
      <c r="I5" s="9" t="s">
        <v>104</v>
      </c>
      <c r="J5" s="2"/>
      <c r="K5" s="3"/>
      <c r="M5" s="9" t="s">
        <v>105</v>
      </c>
      <c r="N5" s="2"/>
      <c r="O5" s="3"/>
      <c r="Q5" s="9" t="s">
        <v>106</v>
      </c>
      <c r="R5" s="2"/>
      <c r="S5" s="3"/>
    </row>
    <row r="6">
      <c r="A6" s="19" t="s">
        <v>107</v>
      </c>
      <c r="B6" s="16" t="s">
        <v>45</v>
      </c>
      <c r="C6" s="40">
        <v>230.0</v>
      </c>
      <c r="E6" s="53" t="s">
        <v>108</v>
      </c>
      <c r="F6" s="2"/>
      <c r="G6" s="3"/>
      <c r="I6" s="13" t="s">
        <v>109</v>
      </c>
      <c r="J6" s="14" t="s">
        <v>110</v>
      </c>
      <c r="K6" s="18">
        <f>G20</f>
        <v>5126.523559</v>
      </c>
      <c r="M6" s="13" t="s">
        <v>111</v>
      </c>
      <c r="N6" s="14" t="s">
        <v>24</v>
      </c>
      <c r="O6" s="18">
        <f>C7+273</f>
        <v>295</v>
      </c>
      <c r="Q6" s="19" t="s">
        <v>112</v>
      </c>
      <c r="R6" s="16" t="s">
        <v>113</v>
      </c>
      <c r="S6" s="54">
        <f>K77</f>
        <v>10.42181397</v>
      </c>
    </row>
    <row r="7">
      <c r="A7" s="24" t="s">
        <v>114</v>
      </c>
      <c r="B7" s="25" t="s">
        <v>45</v>
      </c>
      <c r="C7" s="31">
        <v>22.0</v>
      </c>
      <c r="I7" s="13" t="s">
        <v>115</v>
      </c>
      <c r="J7" s="14" t="s">
        <v>110</v>
      </c>
      <c r="K7" s="18">
        <f>G39</f>
        <v>0.06347457657</v>
      </c>
      <c r="M7" s="13" t="s">
        <v>116</v>
      </c>
      <c r="N7" s="14" t="s">
        <v>110</v>
      </c>
      <c r="O7" s="18">
        <f>G13</f>
        <v>5126.227122</v>
      </c>
      <c r="Q7" s="55" t="s">
        <v>117</v>
      </c>
      <c r="R7" s="56" t="s">
        <v>113</v>
      </c>
      <c r="S7" s="57">
        <f>K50</f>
        <v>0.04057280187</v>
      </c>
      <c r="T7" s="58">
        <f>S7+S8</f>
        <v>3.457973972</v>
      </c>
    </row>
    <row r="8">
      <c r="A8" s="52" t="s">
        <v>118</v>
      </c>
      <c r="C8" s="42"/>
      <c r="E8" s="10" t="s">
        <v>119</v>
      </c>
      <c r="F8" s="11"/>
      <c r="G8" s="12"/>
      <c r="I8" s="46" t="s">
        <v>120</v>
      </c>
      <c r="J8" s="28" t="s">
        <v>110</v>
      </c>
      <c r="K8" s="59">
        <f>SUM(K6:K7)</f>
        <v>5126.587034</v>
      </c>
      <c r="M8" s="13" t="s">
        <v>121</v>
      </c>
      <c r="N8" s="14" t="s">
        <v>113</v>
      </c>
      <c r="O8" s="18">
        <f>K50</f>
        <v>0.04057280187</v>
      </c>
      <c r="Q8" s="55" t="s">
        <v>122</v>
      </c>
      <c r="R8" s="56" t="s">
        <v>113</v>
      </c>
      <c r="S8" s="57">
        <f>K55</f>
        <v>3.41740117</v>
      </c>
    </row>
    <row r="9">
      <c r="A9" s="19" t="s">
        <v>123</v>
      </c>
      <c r="B9" s="16" t="s">
        <v>52</v>
      </c>
      <c r="C9" s="60">
        <v>155.3</v>
      </c>
      <c r="E9" s="19" t="s">
        <v>124</v>
      </c>
      <c r="F9" s="16" t="s">
        <v>19</v>
      </c>
      <c r="G9" s="61">
        <f>C14</f>
        <v>5.519500293</v>
      </c>
      <c r="I9" s="9" t="s">
        <v>125</v>
      </c>
      <c r="J9" s="2"/>
      <c r="K9" s="3"/>
      <c r="M9" s="46" t="s">
        <v>126</v>
      </c>
      <c r="N9" s="28" t="s">
        <v>24</v>
      </c>
      <c r="O9" s="59">
        <f>O6+O7*O8</f>
        <v>502.9853974</v>
      </c>
      <c r="Q9" s="13" t="s">
        <v>127</v>
      </c>
      <c r="R9" s="25" t="s">
        <v>113</v>
      </c>
      <c r="S9" s="62">
        <f>K68</f>
        <v>6.96384</v>
      </c>
    </row>
    <row r="10">
      <c r="A10" s="13" t="s">
        <v>128</v>
      </c>
      <c r="B10" s="14" t="s">
        <v>52</v>
      </c>
      <c r="C10" s="63">
        <v>112.1</v>
      </c>
      <c r="E10" s="13" t="s">
        <v>35</v>
      </c>
      <c r="F10" s="14" t="s">
        <v>22</v>
      </c>
      <c r="G10" s="18">
        <f t="shared" ref="G10:G11" si="1">C27/1000</f>
        <v>0.001</v>
      </c>
      <c r="I10" s="16" t="s">
        <v>129</v>
      </c>
      <c r="J10" s="16" t="s">
        <v>110</v>
      </c>
      <c r="K10" s="64">
        <f>G58</f>
        <v>0.04404012737</v>
      </c>
      <c r="M10" s="9" t="s">
        <v>130</v>
      </c>
      <c r="N10" s="2"/>
      <c r="O10" s="3"/>
      <c r="Q10" s="41" t="s">
        <v>131</v>
      </c>
      <c r="R10" s="3"/>
      <c r="S10" s="65">
        <f>S6-SUM(S7:S9)</f>
        <v>0</v>
      </c>
    </row>
    <row r="11">
      <c r="A11" s="24" t="s">
        <v>132</v>
      </c>
      <c r="B11" s="24" t="s">
        <v>52</v>
      </c>
      <c r="C11" s="66">
        <v>14.58</v>
      </c>
      <c r="E11" s="13" t="s">
        <v>39</v>
      </c>
      <c r="F11" s="14" t="s">
        <v>22</v>
      </c>
      <c r="G11" s="18">
        <f t="shared" si="1"/>
        <v>0.0035</v>
      </c>
      <c r="I11" s="16" t="s">
        <v>133</v>
      </c>
      <c r="J11" s="16" t="s">
        <v>110</v>
      </c>
      <c r="K11" s="64">
        <f>G77</f>
        <v>0.09116760082</v>
      </c>
      <c r="M11" s="13" t="s">
        <v>126</v>
      </c>
      <c r="N11" s="14" t="s">
        <v>24</v>
      </c>
      <c r="O11" s="18">
        <f>O9</f>
        <v>502.9853974</v>
      </c>
    </row>
    <row r="12">
      <c r="A12" s="10" t="s">
        <v>11</v>
      </c>
      <c r="B12" s="11"/>
      <c r="C12" s="12"/>
      <c r="E12" s="13" t="s">
        <v>134</v>
      </c>
      <c r="F12" s="14" t="s">
        <v>28</v>
      </c>
      <c r="G12" s="18">
        <f>pi()*(G11^2-G10^2)</f>
        <v>0.00003534291735</v>
      </c>
      <c r="I12" s="14" t="s">
        <v>135</v>
      </c>
      <c r="J12" s="14" t="s">
        <v>110</v>
      </c>
      <c r="K12" s="18">
        <f t="shared" ref="K12:K16" si="2">$G$95</f>
        <v>10.0232084</v>
      </c>
      <c r="M12" s="13" t="s">
        <v>136</v>
      </c>
      <c r="N12" s="14" t="s">
        <v>110</v>
      </c>
      <c r="O12" s="18">
        <f>G19</f>
        <v>0.2964368406</v>
      </c>
      <c r="Q12" s="50" t="s">
        <v>5</v>
      </c>
      <c r="R12" s="7" t="s">
        <v>6</v>
      </c>
      <c r="S12" s="51" t="s">
        <v>7</v>
      </c>
    </row>
    <row r="13">
      <c r="A13" s="19" t="s">
        <v>18</v>
      </c>
      <c r="B13" s="16" t="s">
        <v>19</v>
      </c>
      <c r="C13" s="40">
        <f>'Natural and Forced Convection C'!S5</f>
        <v>4.504503146</v>
      </c>
      <c r="E13" s="46" t="s">
        <v>116</v>
      </c>
      <c r="F13" s="28" t="s">
        <v>110</v>
      </c>
      <c r="G13" s="59">
        <f>1/(G9*G12)</f>
        <v>5126.227122</v>
      </c>
      <c r="I13" s="14" t="s">
        <v>137</v>
      </c>
      <c r="J13" s="14" t="s">
        <v>110</v>
      </c>
      <c r="K13" s="18">
        <f t="shared" si="2"/>
        <v>10.0232084</v>
      </c>
      <c r="M13" s="13" t="s">
        <v>121</v>
      </c>
      <c r="N13" s="14" t="s">
        <v>113</v>
      </c>
      <c r="O13" s="18">
        <f>K50</f>
        <v>0.04057280187</v>
      </c>
      <c r="Q13" s="9" t="s">
        <v>138</v>
      </c>
      <c r="R13" s="2"/>
      <c r="S13" s="3"/>
    </row>
    <row r="14">
      <c r="A14" s="13" t="s">
        <v>25</v>
      </c>
      <c r="B14" s="14" t="s">
        <v>19</v>
      </c>
      <c r="C14" s="30">
        <f>'Natural and Forced Convection C'!S6</f>
        <v>5.519500293</v>
      </c>
      <c r="E14" s="9" t="s">
        <v>139</v>
      </c>
      <c r="F14" s="2"/>
      <c r="G14" s="3"/>
      <c r="I14" s="14" t="s">
        <v>140</v>
      </c>
      <c r="J14" s="14" t="s">
        <v>110</v>
      </c>
      <c r="K14" s="18">
        <f t="shared" si="2"/>
        <v>10.0232084</v>
      </c>
      <c r="M14" s="46" t="s">
        <v>141</v>
      </c>
      <c r="N14" s="28" t="s">
        <v>24</v>
      </c>
      <c r="O14" s="59">
        <f>O11+O12*O13</f>
        <v>502.9974247</v>
      </c>
      <c r="Q14" s="19" t="s">
        <v>142</v>
      </c>
      <c r="R14" s="16" t="s">
        <v>45</v>
      </c>
      <c r="S14" s="67">
        <f>C7</f>
        <v>22</v>
      </c>
    </row>
    <row r="15">
      <c r="A15" s="24" t="s">
        <v>30</v>
      </c>
      <c r="B15" s="25" t="s">
        <v>19</v>
      </c>
      <c r="C15" s="31">
        <f>'Natural and Forced Convection C'!S7</f>
        <v>54.43080556</v>
      </c>
      <c r="E15" s="19" t="s">
        <v>35</v>
      </c>
      <c r="F15" s="16" t="s">
        <v>22</v>
      </c>
      <c r="G15" s="45">
        <f t="shared" ref="G15:G17" si="3">C27/1000</f>
        <v>0.001</v>
      </c>
      <c r="I15" s="14" t="s">
        <v>143</v>
      </c>
      <c r="J15" s="14" t="s">
        <v>110</v>
      </c>
      <c r="K15" s="18">
        <f t="shared" si="2"/>
        <v>10.0232084</v>
      </c>
      <c r="Q15" s="13" t="s">
        <v>126</v>
      </c>
      <c r="R15" s="14" t="s">
        <v>45</v>
      </c>
      <c r="S15" s="68">
        <f>O9-273</f>
        <v>229.9853974</v>
      </c>
    </row>
    <row r="16">
      <c r="A16" s="9" t="s">
        <v>144</v>
      </c>
      <c r="B16" s="2"/>
      <c r="C16" s="3"/>
      <c r="E16" s="13" t="s">
        <v>39</v>
      </c>
      <c r="F16" s="14" t="s">
        <v>22</v>
      </c>
      <c r="G16" s="18">
        <f t="shared" si="3"/>
        <v>0.0035</v>
      </c>
      <c r="I16" s="14" t="s">
        <v>145</v>
      </c>
      <c r="J16" s="14" t="s">
        <v>110</v>
      </c>
      <c r="K16" s="18">
        <f t="shared" si="2"/>
        <v>10.0232084</v>
      </c>
      <c r="M16" s="9" t="s">
        <v>146</v>
      </c>
      <c r="N16" s="2"/>
      <c r="O16" s="3"/>
      <c r="Q16" s="13" t="s">
        <v>141</v>
      </c>
      <c r="R16" s="14" t="s">
        <v>45</v>
      </c>
      <c r="S16" s="68">
        <f>O14-273</f>
        <v>229.9974247</v>
      </c>
    </row>
    <row r="17">
      <c r="A17" s="19" t="s">
        <v>147</v>
      </c>
      <c r="B17" s="16" t="s">
        <v>55</v>
      </c>
      <c r="C17" s="40">
        <v>1240.0</v>
      </c>
      <c r="E17" s="13" t="s">
        <v>43</v>
      </c>
      <c r="F17" s="14" t="s">
        <v>22</v>
      </c>
      <c r="G17" s="18">
        <f t="shared" si="3"/>
        <v>0.006</v>
      </c>
      <c r="I17" s="14" t="s">
        <v>148</v>
      </c>
      <c r="J17" s="14" t="s">
        <v>110</v>
      </c>
      <c r="K17" s="22">
        <f t="shared" ref="K17:K18" si="4">G129</f>
        <v>0.8478850099</v>
      </c>
      <c r="M17" s="13" t="s">
        <v>111</v>
      </c>
      <c r="N17" s="14" t="s">
        <v>24</v>
      </c>
      <c r="O17" s="18">
        <f>C7+273</f>
        <v>295</v>
      </c>
      <c r="Q17" s="13" t="s">
        <v>149</v>
      </c>
      <c r="R17" s="14" t="s">
        <v>45</v>
      </c>
      <c r="S17" s="68">
        <f>C6</f>
        <v>230</v>
      </c>
    </row>
    <row r="18">
      <c r="A18" s="13" t="s">
        <v>150</v>
      </c>
      <c r="B18" s="14" t="s">
        <v>151</v>
      </c>
      <c r="C18" s="30">
        <v>15.0</v>
      </c>
      <c r="E18" s="13" t="s">
        <v>152</v>
      </c>
      <c r="F18" s="14" t="s">
        <v>52</v>
      </c>
      <c r="G18" s="18">
        <f>C10</f>
        <v>112.1</v>
      </c>
      <c r="I18" s="14" t="s">
        <v>153</v>
      </c>
      <c r="J18" s="14" t="s">
        <v>110</v>
      </c>
      <c r="K18" s="22">
        <f t="shared" si="4"/>
        <v>0.0003655163591</v>
      </c>
      <c r="M18" s="13" t="s">
        <v>154</v>
      </c>
      <c r="N18" s="14" t="s">
        <v>110</v>
      </c>
      <c r="O18" s="18">
        <f>K40</f>
        <v>0.0003655261291</v>
      </c>
      <c r="Q18" s="13" t="s">
        <v>155</v>
      </c>
      <c r="R18" s="14" t="s">
        <v>45</v>
      </c>
      <c r="S18" s="68">
        <f>O70-273</f>
        <v>229.8494972</v>
      </c>
    </row>
    <row r="19">
      <c r="A19" s="13" t="s">
        <v>156</v>
      </c>
      <c r="B19" s="14" t="s">
        <v>157</v>
      </c>
      <c r="C19" s="30">
        <v>1800.0</v>
      </c>
      <c r="E19" s="46" t="s">
        <v>136</v>
      </c>
      <c r="F19" s="28" t="s">
        <v>110</v>
      </c>
      <c r="G19" s="47">
        <f>LN((G16/G15))/(2*pi()*G17*G18)</f>
        <v>0.2964368406</v>
      </c>
      <c r="I19" s="14" t="s">
        <v>158</v>
      </c>
      <c r="J19" s="14" t="s">
        <v>110</v>
      </c>
      <c r="K19" s="22">
        <f t="shared" ref="K19:K20" si="5">G129</f>
        <v>0.8478850099</v>
      </c>
      <c r="M19" s="13" t="s">
        <v>159</v>
      </c>
      <c r="N19" s="14" t="s">
        <v>113</v>
      </c>
      <c r="O19" s="18">
        <f>K55</f>
        <v>3.41740117</v>
      </c>
      <c r="Q19" s="13" t="s">
        <v>160</v>
      </c>
      <c r="R19" s="14" t="s">
        <v>45</v>
      </c>
      <c r="S19" s="68">
        <f>O65-273</f>
        <v>229.537941</v>
      </c>
    </row>
    <row r="20">
      <c r="A20" s="13" t="s">
        <v>161</v>
      </c>
      <c r="B20" s="14" t="s">
        <v>45</v>
      </c>
      <c r="C20" s="30">
        <v>22.0</v>
      </c>
      <c r="E20" s="69" t="s">
        <v>109</v>
      </c>
      <c r="F20" s="3"/>
      <c r="G20" s="70">
        <f>G13+G19</f>
        <v>5126.523559</v>
      </c>
      <c r="I20" s="14" t="s">
        <v>162</v>
      </c>
      <c r="J20" s="14" t="s">
        <v>110</v>
      </c>
      <c r="K20" s="22">
        <f t="shared" si="5"/>
        <v>0.0003655163591</v>
      </c>
      <c r="M20" s="46" t="s">
        <v>163</v>
      </c>
      <c r="N20" s="28" t="s">
        <v>24</v>
      </c>
      <c r="O20" s="59">
        <f>O17+O18*O19</f>
        <v>295.0012491</v>
      </c>
      <c r="Q20" s="13" t="s">
        <v>164</v>
      </c>
      <c r="R20" s="22"/>
      <c r="S20" s="18">
        <f>O59-273</f>
        <v>195.2846169</v>
      </c>
    </row>
    <row r="21">
      <c r="A21" s="24" t="s">
        <v>165</v>
      </c>
      <c r="B21" s="25" t="s">
        <v>45</v>
      </c>
      <c r="C21" s="31">
        <v>230.0</v>
      </c>
      <c r="I21" s="14" t="s">
        <v>166</v>
      </c>
      <c r="J21" s="14" t="s">
        <v>110</v>
      </c>
      <c r="K21" s="22">
        <f t="shared" ref="K21:K22" si="6">G129</f>
        <v>0.8478850099</v>
      </c>
      <c r="Q21" s="13" t="s">
        <v>167</v>
      </c>
      <c r="R21" s="22"/>
      <c r="S21" s="18">
        <f>O58-273</f>
        <v>161.0312927</v>
      </c>
    </row>
    <row r="22">
      <c r="E22" s="53" t="s">
        <v>115</v>
      </c>
      <c r="F22" s="2"/>
      <c r="G22" s="3"/>
      <c r="I22" s="14" t="s">
        <v>168</v>
      </c>
      <c r="J22" s="14" t="s">
        <v>110</v>
      </c>
      <c r="K22" s="22">
        <f t="shared" si="6"/>
        <v>0.0003655163591</v>
      </c>
      <c r="M22" s="9" t="s">
        <v>169</v>
      </c>
      <c r="N22" s="2"/>
      <c r="O22" s="3"/>
      <c r="Q22" s="13" t="s">
        <v>170</v>
      </c>
      <c r="R22" s="22"/>
      <c r="S22" s="18">
        <f>O57-273</f>
        <v>126.7779686</v>
      </c>
    </row>
    <row r="23">
      <c r="A23" s="1" t="s">
        <v>171</v>
      </c>
      <c r="B23" s="2"/>
      <c r="C23" s="3"/>
      <c r="I23" s="14" t="s">
        <v>172</v>
      </c>
      <c r="J23" s="14" t="s">
        <v>110</v>
      </c>
      <c r="K23" s="22">
        <f t="shared" ref="K23:K24" si="7">G129</f>
        <v>0.8478850099</v>
      </c>
      <c r="M23" s="19" t="s">
        <v>173</v>
      </c>
      <c r="N23" s="16" t="s">
        <v>110</v>
      </c>
      <c r="O23" s="45">
        <f t="shared" ref="O23:O24" si="8">K39</f>
        <v>0.9348266406</v>
      </c>
      <c r="Q23" s="13" t="s">
        <v>174</v>
      </c>
      <c r="R23" s="22"/>
      <c r="S23" s="18">
        <f>O56-273</f>
        <v>92.52464455</v>
      </c>
    </row>
    <row r="24">
      <c r="E24" s="9" t="s">
        <v>175</v>
      </c>
      <c r="F24" s="2"/>
      <c r="G24" s="3"/>
      <c r="I24" s="14" t="s">
        <v>176</v>
      </c>
      <c r="J24" s="14" t="s">
        <v>110</v>
      </c>
      <c r="K24" s="22">
        <f t="shared" si="7"/>
        <v>0.0003655163591</v>
      </c>
      <c r="M24" s="13" t="s">
        <v>177</v>
      </c>
      <c r="N24" s="14" t="s">
        <v>110</v>
      </c>
      <c r="O24" s="18">
        <f t="shared" si="8"/>
        <v>0.0003655261291</v>
      </c>
      <c r="Q24" s="13" t="s">
        <v>178</v>
      </c>
      <c r="R24" s="14" t="s">
        <v>45</v>
      </c>
      <c r="S24" s="68">
        <f>O51-273</f>
        <v>58.27132045</v>
      </c>
    </row>
    <row r="25">
      <c r="A25" s="50" t="s">
        <v>5</v>
      </c>
      <c r="B25" s="7" t="s">
        <v>6</v>
      </c>
      <c r="C25" s="51" t="s">
        <v>7</v>
      </c>
      <c r="E25" s="19" t="s">
        <v>35</v>
      </c>
      <c r="F25" s="16" t="s">
        <v>22</v>
      </c>
      <c r="G25" s="45">
        <f t="shared" ref="G25:G26" si="9">C31/1000</f>
        <v>0.001</v>
      </c>
      <c r="I25" s="14" t="s">
        <v>179</v>
      </c>
      <c r="J25" s="14" t="s">
        <v>110</v>
      </c>
      <c r="K25" s="22">
        <f t="shared" ref="K25:K26" si="10">G129</f>
        <v>0.8478850099</v>
      </c>
      <c r="M25" s="13" t="s">
        <v>180</v>
      </c>
      <c r="N25" s="14" t="s">
        <v>110</v>
      </c>
      <c r="O25" s="18">
        <f>K29</f>
        <v>0.8478850099</v>
      </c>
      <c r="Q25" s="13" t="s">
        <v>181</v>
      </c>
      <c r="R25" s="14" t="s">
        <v>45</v>
      </c>
      <c r="S25" s="68">
        <f>O50-273</f>
        <v>55.37375722</v>
      </c>
    </row>
    <row r="26">
      <c r="A26" s="9" t="s">
        <v>182</v>
      </c>
      <c r="B26" s="2"/>
      <c r="C26" s="3"/>
      <c r="E26" s="13" t="s">
        <v>39</v>
      </c>
      <c r="F26" s="14" t="s">
        <v>22</v>
      </c>
      <c r="G26" s="18">
        <f t="shared" si="9"/>
        <v>0.003</v>
      </c>
      <c r="I26" s="14" t="s">
        <v>183</v>
      </c>
      <c r="J26" s="14" t="s">
        <v>110</v>
      </c>
      <c r="K26" s="22">
        <f t="shared" si="10"/>
        <v>0.0003655163591</v>
      </c>
      <c r="M26" s="13" t="s">
        <v>177</v>
      </c>
      <c r="N26" s="14" t="s">
        <v>110</v>
      </c>
      <c r="O26" s="18">
        <f>K28</f>
        <v>0.0003655163591</v>
      </c>
      <c r="Q26" s="13" t="s">
        <v>184</v>
      </c>
      <c r="R26" s="14" t="s">
        <v>45</v>
      </c>
      <c r="S26" s="68">
        <f>O49-273</f>
        <v>55.37250811</v>
      </c>
    </row>
    <row r="27">
      <c r="A27" s="19" t="s">
        <v>35</v>
      </c>
      <c r="B27" s="16" t="s">
        <v>21</v>
      </c>
      <c r="C27" s="40">
        <v>1.0</v>
      </c>
      <c r="E27" s="13" t="s">
        <v>185</v>
      </c>
      <c r="F27" s="14" t="s">
        <v>22</v>
      </c>
      <c r="G27" s="18">
        <f>C37/1000</f>
        <v>0.004</v>
      </c>
      <c r="I27" s="14" t="s">
        <v>186</v>
      </c>
      <c r="J27" s="14" t="s">
        <v>110</v>
      </c>
      <c r="K27" s="22">
        <f t="shared" ref="K27:K28" si="11">G129</f>
        <v>0.8478850099</v>
      </c>
      <c r="M27" s="24" t="s">
        <v>159</v>
      </c>
      <c r="N27" s="25" t="s">
        <v>113</v>
      </c>
      <c r="O27" s="71">
        <f>K55</f>
        <v>3.41740117</v>
      </c>
      <c r="Q27" s="13" t="s">
        <v>187</v>
      </c>
      <c r="R27" s="14" t="s">
        <v>45</v>
      </c>
      <c r="S27" s="68">
        <f>O48-273</f>
        <v>52.47494488</v>
      </c>
    </row>
    <row r="28">
      <c r="A28" s="13" t="s">
        <v>39</v>
      </c>
      <c r="B28" s="14" t="s">
        <v>21</v>
      </c>
      <c r="C28" s="30">
        <v>3.5</v>
      </c>
      <c r="E28" s="13" t="s">
        <v>152</v>
      </c>
      <c r="F28" s="14" t="s">
        <v>52</v>
      </c>
      <c r="G28" s="18">
        <f>C10</f>
        <v>112.1</v>
      </c>
      <c r="I28" s="14" t="s">
        <v>188</v>
      </c>
      <c r="J28" s="14" t="s">
        <v>110</v>
      </c>
      <c r="K28" s="22">
        <f t="shared" si="11"/>
        <v>0.0003655163591</v>
      </c>
      <c r="M28" s="19" t="s">
        <v>163</v>
      </c>
      <c r="N28" s="16" t="s">
        <v>24</v>
      </c>
      <c r="O28" s="64">
        <f>O20</f>
        <v>295.0012491</v>
      </c>
      <c r="Q28" s="13" t="s">
        <v>189</v>
      </c>
      <c r="R28" s="14" t="s">
        <v>45</v>
      </c>
      <c r="S28" s="68">
        <f>O47-273</f>
        <v>52.47369577</v>
      </c>
    </row>
    <row r="29">
      <c r="A29" s="24" t="s">
        <v>43</v>
      </c>
      <c r="B29" s="25" t="s">
        <v>21</v>
      </c>
      <c r="C29" s="31">
        <v>6.0</v>
      </c>
      <c r="E29" s="32" t="s">
        <v>190</v>
      </c>
      <c r="F29" s="33" t="s">
        <v>110</v>
      </c>
      <c r="G29" s="34">
        <f>LN((G26/G25))/(2*pi()*G27*G28)</f>
        <v>0.3899410711</v>
      </c>
      <c r="I29" s="14" t="s">
        <v>191</v>
      </c>
      <c r="J29" s="14" t="s">
        <v>110</v>
      </c>
      <c r="K29" s="22">
        <f>G129</f>
        <v>0.8478850099</v>
      </c>
      <c r="M29" s="13" t="s">
        <v>192</v>
      </c>
      <c r="N29" s="14" t="s">
        <v>24</v>
      </c>
      <c r="O29" s="22">
        <f>O28+$O$27*$O$23</f>
        <v>298.1959268</v>
      </c>
      <c r="P29" s="72" t="s">
        <v>193</v>
      </c>
      <c r="Q29" s="13" t="s">
        <v>194</v>
      </c>
      <c r="R29" s="14" t="s">
        <v>45</v>
      </c>
      <c r="S29" s="68">
        <f>O46-273</f>
        <v>49.57613254</v>
      </c>
    </row>
    <row r="30">
      <c r="A30" s="73" t="s">
        <v>195</v>
      </c>
      <c r="B30" s="2"/>
      <c r="C30" s="3"/>
      <c r="E30" s="9" t="s">
        <v>196</v>
      </c>
      <c r="F30" s="2"/>
      <c r="G30" s="3"/>
      <c r="I30" s="14" t="s">
        <v>197</v>
      </c>
      <c r="J30" s="14" t="s">
        <v>110</v>
      </c>
      <c r="K30" s="22">
        <f>G132</f>
        <v>0.0003655261291</v>
      </c>
      <c r="M30" s="13" t="s">
        <v>198</v>
      </c>
      <c r="N30" s="14" t="s">
        <v>24</v>
      </c>
      <c r="O30" s="22">
        <f>O29+$O$27*$O$24</f>
        <v>298.197176</v>
      </c>
      <c r="Q30" s="13" t="s">
        <v>199</v>
      </c>
      <c r="R30" s="14" t="s">
        <v>45</v>
      </c>
      <c r="S30" s="68">
        <f>O45-273</f>
        <v>49.57488342</v>
      </c>
    </row>
    <row r="31">
      <c r="A31" s="16" t="s">
        <v>35</v>
      </c>
      <c r="B31" s="16" t="s">
        <v>21</v>
      </c>
      <c r="C31" s="40">
        <v>1.0</v>
      </c>
      <c r="E31" s="13" t="s">
        <v>200</v>
      </c>
      <c r="F31" s="14" t="s">
        <v>52</v>
      </c>
      <c r="G31" s="45">
        <f>C9</f>
        <v>155.3</v>
      </c>
      <c r="I31" s="14" t="s">
        <v>201</v>
      </c>
      <c r="J31" s="14" t="s">
        <v>110</v>
      </c>
      <c r="K31" s="22">
        <f t="shared" ref="K31:K32" si="12">G131</f>
        <v>0.9348266406</v>
      </c>
      <c r="M31" s="13" t="s">
        <v>202</v>
      </c>
      <c r="N31" s="14" t="s">
        <v>24</v>
      </c>
      <c r="O31" s="22">
        <f>O30+$O$27*$O$23</f>
        <v>301.3918536</v>
      </c>
      <c r="P31" s="72" t="s">
        <v>203</v>
      </c>
      <c r="Q31" s="13" t="s">
        <v>204</v>
      </c>
      <c r="R31" s="14" t="s">
        <v>45</v>
      </c>
      <c r="S31" s="68">
        <f>O44-273</f>
        <v>46.6773202</v>
      </c>
    </row>
    <row r="32">
      <c r="A32" s="14" t="s">
        <v>39</v>
      </c>
      <c r="B32" s="14" t="s">
        <v>21</v>
      </c>
      <c r="C32" s="30">
        <v>3.0</v>
      </c>
      <c r="E32" s="13" t="s">
        <v>185</v>
      </c>
      <c r="F32" s="14" t="s">
        <v>22</v>
      </c>
      <c r="G32" s="18">
        <f>C37/1000</f>
        <v>0.004</v>
      </c>
      <c r="I32" s="14" t="s">
        <v>205</v>
      </c>
      <c r="J32" s="14" t="s">
        <v>110</v>
      </c>
      <c r="K32" s="22">
        <f t="shared" si="12"/>
        <v>0.0003655261291</v>
      </c>
      <c r="M32" s="13" t="s">
        <v>206</v>
      </c>
      <c r="N32" s="14" t="s">
        <v>24</v>
      </c>
      <c r="O32" s="22">
        <f>O31+$O$27*$O$24</f>
        <v>301.3931028</v>
      </c>
      <c r="Q32" s="13" t="s">
        <v>207</v>
      </c>
      <c r="R32" s="14" t="s">
        <v>45</v>
      </c>
      <c r="S32" s="68">
        <f>O43-273</f>
        <v>46.67607108</v>
      </c>
    </row>
    <row r="33">
      <c r="A33" s="9" t="s">
        <v>208</v>
      </c>
      <c r="B33" s="2"/>
      <c r="C33" s="3"/>
      <c r="E33" s="13" t="s">
        <v>65</v>
      </c>
      <c r="F33" s="14" t="s">
        <v>22</v>
      </c>
      <c r="G33" s="18">
        <f t="shared" ref="G33:G34" si="13">C35/1000</f>
        <v>0.023</v>
      </c>
      <c r="I33" s="14" t="s">
        <v>209</v>
      </c>
      <c r="J33" s="14" t="s">
        <v>110</v>
      </c>
      <c r="K33" s="22">
        <f t="shared" ref="K33:K34" si="14">G131</f>
        <v>0.9348266406</v>
      </c>
      <c r="M33" s="13" t="s">
        <v>210</v>
      </c>
      <c r="N33" s="14" t="s">
        <v>24</v>
      </c>
      <c r="O33" s="22">
        <f>O32+$O$27*$O$23</f>
        <v>304.5877804</v>
      </c>
      <c r="P33" s="72" t="s">
        <v>211</v>
      </c>
      <c r="Q33" s="13" t="s">
        <v>212</v>
      </c>
      <c r="R33" s="14" t="s">
        <v>45</v>
      </c>
      <c r="S33" s="68">
        <f>O42-273</f>
        <v>43.77850786</v>
      </c>
    </row>
    <row r="34">
      <c r="A34" s="74" t="s">
        <v>213</v>
      </c>
      <c r="B34" s="11"/>
      <c r="C34" s="12"/>
      <c r="E34" s="13" t="s">
        <v>68</v>
      </c>
      <c r="F34" s="14" t="s">
        <v>22</v>
      </c>
      <c r="G34" s="18">
        <f t="shared" si="13"/>
        <v>0.016</v>
      </c>
      <c r="I34" s="14" t="s">
        <v>214</v>
      </c>
      <c r="J34" s="14" t="s">
        <v>110</v>
      </c>
      <c r="K34" s="22">
        <f t="shared" si="14"/>
        <v>0.0003655261291</v>
      </c>
      <c r="M34" s="13" t="s">
        <v>215</v>
      </c>
      <c r="N34" s="14" t="s">
        <v>24</v>
      </c>
      <c r="O34" s="22">
        <f>O33+$O$27*$O$24</f>
        <v>304.5890296</v>
      </c>
      <c r="Q34" s="13" t="s">
        <v>216</v>
      </c>
      <c r="R34" s="14" t="s">
        <v>45</v>
      </c>
      <c r="S34" s="68">
        <f>O41-273</f>
        <v>43.77725874</v>
      </c>
      <c r="U34" s="75" t="s">
        <v>217</v>
      </c>
      <c r="V34" s="3"/>
      <c r="Z34" s="75" t="s">
        <v>218</v>
      </c>
      <c r="AA34" s="3"/>
      <c r="AF34" s="75" t="s">
        <v>219</v>
      </c>
      <c r="AG34" s="3"/>
    </row>
    <row r="35">
      <c r="A35" s="19" t="s">
        <v>65</v>
      </c>
      <c r="B35" s="16" t="s">
        <v>21</v>
      </c>
      <c r="C35" s="40">
        <v>23.0</v>
      </c>
      <c r="E35" s="13" t="s">
        <v>220</v>
      </c>
      <c r="F35" s="14" t="s">
        <v>28</v>
      </c>
      <c r="G35" s="18">
        <f>G34*G33</f>
        <v>0.000368</v>
      </c>
      <c r="I35" s="14" t="s">
        <v>221</v>
      </c>
      <c r="J35" s="14" t="s">
        <v>110</v>
      </c>
      <c r="K35" s="22">
        <f t="shared" ref="K35:K36" si="15">G131</f>
        <v>0.9348266406</v>
      </c>
      <c r="M35" s="13" t="s">
        <v>222</v>
      </c>
      <c r="N35" s="14" t="s">
        <v>24</v>
      </c>
      <c r="O35" s="22">
        <f>O34+$O$27*$O$23</f>
        <v>307.7837072</v>
      </c>
      <c r="P35" s="72" t="s">
        <v>223</v>
      </c>
      <c r="Q35" s="13" t="s">
        <v>224</v>
      </c>
      <c r="R35" s="14" t="s">
        <v>45</v>
      </c>
      <c r="S35" s="68">
        <f>O40-273</f>
        <v>40.87969552</v>
      </c>
      <c r="U35" s="72" t="s">
        <v>225</v>
      </c>
      <c r="V35" s="72" t="s">
        <v>226</v>
      </c>
      <c r="Z35" s="72" t="s">
        <v>227</v>
      </c>
      <c r="AA35" s="72" t="s">
        <v>226</v>
      </c>
      <c r="AF35" s="72" t="s">
        <v>228</v>
      </c>
      <c r="AG35" s="72" t="s">
        <v>226</v>
      </c>
    </row>
    <row r="36">
      <c r="A36" s="13" t="s">
        <v>68</v>
      </c>
      <c r="B36" s="14" t="s">
        <v>21</v>
      </c>
      <c r="C36" s="30">
        <v>16.0</v>
      </c>
      <c r="E36" s="13" t="s">
        <v>229</v>
      </c>
      <c r="F36" s="14" t="s">
        <v>28</v>
      </c>
      <c r="G36" s="18">
        <f>pi()*(G26)^2</f>
        <v>0.00002827433388</v>
      </c>
      <c r="I36" s="14" t="s">
        <v>230</v>
      </c>
      <c r="J36" s="14" t="s">
        <v>110</v>
      </c>
      <c r="K36" s="22">
        <f t="shared" si="15"/>
        <v>0.0003655261291</v>
      </c>
      <c r="M36" s="13" t="s">
        <v>231</v>
      </c>
      <c r="N36" s="14" t="s">
        <v>24</v>
      </c>
      <c r="O36" s="22">
        <f>O35+$O$27*$O$24</f>
        <v>307.7849564</v>
      </c>
      <c r="Q36" s="13" t="s">
        <v>232</v>
      </c>
      <c r="R36" s="14" t="s">
        <v>45</v>
      </c>
      <c r="S36" s="68">
        <f>O39-273</f>
        <v>40.8784464</v>
      </c>
      <c r="U36" s="27">
        <f>0</f>
        <v>0</v>
      </c>
      <c r="V36" s="27">
        <f>S19</f>
        <v>229.537941</v>
      </c>
      <c r="Z36" s="72">
        <v>0.0</v>
      </c>
      <c r="AA36" s="27">
        <f>S24</f>
        <v>58.27132045</v>
      </c>
      <c r="AF36" s="72">
        <v>0.0</v>
      </c>
      <c r="AG36" s="27">
        <f>S47</f>
        <v>22.00124915</v>
      </c>
    </row>
    <row r="37">
      <c r="A37" s="14" t="s">
        <v>233</v>
      </c>
      <c r="B37" s="14" t="s">
        <v>21</v>
      </c>
      <c r="C37" s="30">
        <v>4.0</v>
      </c>
      <c r="E37" s="13" t="s">
        <v>234</v>
      </c>
      <c r="F37" s="14" t="s">
        <v>28</v>
      </c>
      <c r="G37" s="18">
        <f>G35-G36</f>
        <v>0.0003397256661</v>
      </c>
      <c r="I37" s="14" t="s">
        <v>235</v>
      </c>
      <c r="J37" s="14" t="s">
        <v>110</v>
      </c>
      <c r="K37" s="22">
        <f t="shared" ref="K37:K38" si="16">G131</f>
        <v>0.9348266406</v>
      </c>
      <c r="M37" s="13" t="s">
        <v>236</v>
      </c>
      <c r="N37" s="14" t="s">
        <v>24</v>
      </c>
      <c r="O37" s="22">
        <f>O36+$O$27*$O$23</f>
        <v>310.979634</v>
      </c>
      <c r="P37" s="72" t="s">
        <v>237</v>
      </c>
      <c r="Q37" s="13" t="s">
        <v>238</v>
      </c>
      <c r="R37" s="14" t="s">
        <v>45</v>
      </c>
      <c r="S37" s="68">
        <f>O38-273</f>
        <v>37.98088318</v>
      </c>
      <c r="U37" s="27">
        <f>C39</f>
        <v>5</v>
      </c>
      <c r="V37" s="27">
        <f>S18</f>
        <v>229.8494972</v>
      </c>
      <c r="Z37" s="27">
        <f>C46</f>
        <v>0.42</v>
      </c>
      <c r="AA37" s="27">
        <f>S23</f>
        <v>92.52464455</v>
      </c>
      <c r="AF37" s="27">
        <f>C55</f>
        <v>1.5</v>
      </c>
      <c r="AG37" s="27">
        <f>S46</f>
        <v>25.19592681</v>
      </c>
    </row>
    <row r="38">
      <c r="A38" s="14" t="s">
        <v>239</v>
      </c>
      <c r="B38" s="14" t="s">
        <v>21</v>
      </c>
      <c r="C38" s="30">
        <v>2.5</v>
      </c>
      <c r="E38" s="46" t="s">
        <v>240</v>
      </c>
      <c r="F38" s="28" t="s">
        <v>110</v>
      </c>
      <c r="G38" s="47">
        <f>G32/(G31*G37)</f>
        <v>0.07581587939</v>
      </c>
      <c r="I38" s="14" t="s">
        <v>241</v>
      </c>
      <c r="J38" s="14" t="s">
        <v>110</v>
      </c>
      <c r="K38" s="22">
        <f t="shared" si="16"/>
        <v>0.0003655261291</v>
      </c>
      <c r="M38" s="13" t="s">
        <v>238</v>
      </c>
      <c r="N38" s="14" t="s">
        <v>24</v>
      </c>
      <c r="O38" s="22">
        <f>O37+$O$27*$O$24</f>
        <v>310.9808832</v>
      </c>
      <c r="Q38" s="13" t="s">
        <v>236</v>
      </c>
      <c r="R38" s="14" t="s">
        <v>45</v>
      </c>
      <c r="S38" s="68">
        <f>O37-273</f>
        <v>37.97963403</v>
      </c>
      <c r="U38" s="27">
        <f>U37+C38</f>
        <v>7.5</v>
      </c>
      <c r="V38" s="27">
        <f>S17</f>
        <v>230</v>
      </c>
      <c r="Z38" s="27">
        <f>Z37+C46</f>
        <v>0.84</v>
      </c>
      <c r="AA38" s="27">
        <f>S22</f>
        <v>126.7779686</v>
      </c>
      <c r="AF38" s="27">
        <f>AF37+C56</f>
        <v>2.5</v>
      </c>
      <c r="AG38" s="27">
        <f>S45</f>
        <v>25.19717595</v>
      </c>
    </row>
    <row r="39">
      <c r="A39" s="25" t="s">
        <v>242</v>
      </c>
      <c r="B39" s="76" t="s">
        <v>21</v>
      </c>
      <c r="C39" s="31">
        <v>5.0</v>
      </c>
      <c r="E39" s="69" t="s">
        <v>115</v>
      </c>
      <c r="F39" s="3"/>
      <c r="G39" s="70">
        <f>((1/G29)+(1/G38))^(-1)</f>
        <v>0.06347457657</v>
      </c>
      <c r="I39" s="14" t="s">
        <v>243</v>
      </c>
      <c r="J39" s="14" t="s">
        <v>110</v>
      </c>
      <c r="K39" s="22">
        <f t="shared" ref="K39:K40" si="17">G131</f>
        <v>0.9348266406</v>
      </c>
      <c r="M39" s="13" t="s">
        <v>232</v>
      </c>
      <c r="N39" s="14" t="s">
        <v>24</v>
      </c>
      <c r="O39" s="22">
        <f>O38+$O$27*$O$25</f>
        <v>313.8784464</v>
      </c>
      <c r="P39" s="72" t="s">
        <v>244</v>
      </c>
      <c r="Q39" s="13" t="s">
        <v>231</v>
      </c>
      <c r="R39" s="14" t="s">
        <v>45</v>
      </c>
      <c r="S39" s="68">
        <f>O36-273</f>
        <v>34.78495637</v>
      </c>
      <c r="U39" s="27">
        <f>U38+C37</f>
        <v>11.5</v>
      </c>
      <c r="V39" s="27">
        <f>S16</f>
        <v>229.9974247</v>
      </c>
      <c r="Z39" s="27">
        <f>Z38+C46</f>
        <v>1.26</v>
      </c>
      <c r="AA39" s="27">
        <f>S21</f>
        <v>161.0312927</v>
      </c>
      <c r="AF39" s="27">
        <f t="shared" ref="AF39:AF40" si="18">AF38+C55</f>
        <v>4</v>
      </c>
      <c r="AG39" s="27">
        <f>S44</f>
        <v>28.39185361</v>
      </c>
    </row>
    <row r="40">
      <c r="A40" s="73" t="s">
        <v>245</v>
      </c>
      <c r="B40" s="2"/>
      <c r="C40" s="3"/>
      <c r="I40" s="14" t="s">
        <v>246</v>
      </c>
      <c r="J40" s="14" t="s">
        <v>110</v>
      </c>
      <c r="K40" s="22">
        <f t="shared" si="17"/>
        <v>0.0003655261291</v>
      </c>
      <c r="M40" s="13" t="s">
        <v>224</v>
      </c>
      <c r="N40" s="14" t="s">
        <v>24</v>
      </c>
      <c r="O40" s="22">
        <f>O39+$O$27*$O$26</f>
        <v>313.8796955</v>
      </c>
      <c r="Q40" s="13" t="s">
        <v>222</v>
      </c>
      <c r="R40" s="14" t="s">
        <v>45</v>
      </c>
      <c r="S40" s="68">
        <f>O35-273</f>
        <v>34.78370722</v>
      </c>
      <c r="U40" s="27">
        <f>U39+C29</f>
        <v>17.5</v>
      </c>
      <c r="V40" s="27">
        <f>S15</f>
        <v>229.9853974</v>
      </c>
      <c r="Z40" s="27">
        <f>Z39+C46</f>
        <v>1.68</v>
      </c>
      <c r="AA40" s="27">
        <f>S20</f>
        <v>195.2846169</v>
      </c>
      <c r="AF40" s="27">
        <f t="shared" si="18"/>
        <v>5</v>
      </c>
      <c r="AG40" s="27">
        <f>S43</f>
        <v>28.39310276</v>
      </c>
    </row>
    <row r="41">
      <c r="A41" s="16" t="s">
        <v>35</v>
      </c>
      <c r="B41" s="16" t="s">
        <v>21</v>
      </c>
      <c r="C41" s="40">
        <v>1.0</v>
      </c>
      <c r="E41" s="53" t="s">
        <v>129</v>
      </c>
      <c r="F41" s="2"/>
      <c r="G41" s="3"/>
      <c r="I41" s="28" t="s">
        <v>247</v>
      </c>
      <c r="J41" s="28" t="s">
        <v>110</v>
      </c>
      <c r="K41" s="28">
        <f>SUM(K10:K40)</f>
        <v>60.86496423</v>
      </c>
      <c r="M41" s="13" t="s">
        <v>216</v>
      </c>
      <c r="N41" s="14" t="s">
        <v>24</v>
      </c>
      <c r="O41" s="22">
        <f>O40+$O$27*$O$25</f>
        <v>316.7772587</v>
      </c>
      <c r="P41" s="72" t="s">
        <v>248</v>
      </c>
      <c r="Q41" s="13" t="s">
        <v>215</v>
      </c>
      <c r="R41" s="14" t="s">
        <v>45</v>
      </c>
      <c r="S41" s="68">
        <f>O34-273</f>
        <v>31.58902956</v>
      </c>
      <c r="Z41" s="27">
        <f>Z40+C46</f>
        <v>2.1</v>
      </c>
      <c r="AA41" s="27">
        <f>S19</f>
        <v>229.537941</v>
      </c>
      <c r="AF41" s="27">
        <f t="shared" ref="AF41:AF42" si="19">AF40+C55</f>
        <v>6.5</v>
      </c>
      <c r="AG41" s="27">
        <f>S42</f>
        <v>31.58778042</v>
      </c>
    </row>
    <row r="42">
      <c r="A42" s="14" t="s">
        <v>39</v>
      </c>
      <c r="B42" s="14" t="s">
        <v>21</v>
      </c>
      <c r="C42" s="30">
        <v>3.0</v>
      </c>
      <c r="M42" s="13" t="s">
        <v>212</v>
      </c>
      <c r="N42" s="14" t="s">
        <v>24</v>
      </c>
      <c r="O42" s="22">
        <f>O41+$O$27*$O$26</f>
        <v>316.7785079</v>
      </c>
      <c r="Q42" s="13" t="s">
        <v>210</v>
      </c>
      <c r="R42" s="14" t="s">
        <v>45</v>
      </c>
      <c r="S42" s="68">
        <f>O33-273</f>
        <v>31.58778042</v>
      </c>
      <c r="AF42" s="27">
        <f t="shared" si="19"/>
        <v>7.5</v>
      </c>
      <c r="AG42" s="27">
        <f>S41</f>
        <v>31.58902956</v>
      </c>
    </row>
    <row r="43">
      <c r="A43" s="77" t="s">
        <v>249</v>
      </c>
      <c r="B43" s="11"/>
      <c r="C43" s="12"/>
      <c r="E43" s="9" t="s">
        <v>250</v>
      </c>
      <c r="F43" s="2"/>
      <c r="G43" s="3"/>
      <c r="I43" s="1" t="s">
        <v>251</v>
      </c>
      <c r="J43" s="2"/>
      <c r="K43" s="3"/>
      <c r="M43" s="13" t="s">
        <v>252</v>
      </c>
      <c r="N43" s="14" t="s">
        <v>24</v>
      </c>
      <c r="O43" s="22">
        <f>O42+$O$27*$O$25</f>
        <v>319.6760711</v>
      </c>
      <c r="P43" s="72" t="s">
        <v>253</v>
      </c>
      <c r="Q43" s="13" t="s">
        <v>206</v>
      </c>
      <c r="R43" s="14" t="s">
        <v>45</v>
      </c>
      <c r="S43" s="68">
        <f>O32-273</f>
        <v>28.39310276</v>
      </c>
      <c r="AF43" s="27">
        <f t="shared" ref="AF43:AF44" si="20">AF42+C55</f>
        <v>9</v>
      </c>
      <c r="AG43" s="27">
        <f>S40</f>
        <v>34.78370722</v>
      </c>
    </row>
    <row r="44">
      <c r="A44" s="19" t="s">
        <v>35</v>
      </c>
      <c r="B44" s="16" t="s">
        <v>21</v>
      </c>
      <c r="C44" s="40">
        <v>1.0</v>
      </c>
      <c r="E44" s="19" t="s">
        <v>35</v>
      </c>
      <c r="F44" s="16" t="s">
        <v>22</v>
      </c>
      <c r="G44" s="45">
        <f t="shared" ref="G44:G45" si="21">C31/1000</f>
        <v>0.001</v>
      </c>
      <c r="M44" s="13" t="s">
        <v>254</v>
      </c>
      <c r="N44" s="14" t="s">
        <v>24</v>
      </c>
      <c r="O44" s="22">
        <f>O43+$O$27*$O$26</f>
        <v>319.6773202</v>
      </c>
      <c r="Q44" s="13" t="s">
        <v>202</v>
      </c>
      <c r="R44" s="14" t="s">
        <v>45</v>
      </c>
      <c r="S44" s="68">
        <f>O31-273</f>
        <v>28.39185361</v>
      </c>
      <c r="AF44" s="27">
        <f t="shared" si="20"/>
        <v>10</v>
      </c>
      <c r="AG44" s="27">
        <f>S39</f>
        <v>34.78495637</v>
      </c>
    </row>
    <row r="45">
      <c r="A45" s="13" t="s">
        <v>39</v>
      </c>
      <c r="B45" s="14" t="s">
        <v>21</v>
      </c>
      <c r="C45" s="30">
        <v>1.48</v>
      </c>
      <c r="E45" s="13" t="s">
        <v>39</v>
      </c>
      <c r="F45" s="14" t="s">
        <v>22</v>
      </c>
      <c r="G45" s="18">
        <f t="shared" si="21"/>
        <v>0.003</v>
      </c>
      <c r="I45" s="50" t="s">
        <v>5</v>
      </c>
      <c r="J45" s="7" t="s">
        <v>6</v>
      </c>
      <c r="K45" s="51" t="s">
        <v>7</v>
      </c>
      <c r="M45" s="13" t="s">
        <v>255</v>
      </c>
      <c r="N45" s="14" t="s">
        <v>24</v>
      </c>
      <c r="O45" s="22">
        <f>O44+$O$27*$O$25</f>
        <v>322.5748834</v>
      </c>
      <c r="P45" s="72" t="s">
        <v>256</v>
      </c>
      <c r="Q45" s="13" t="s">
        <v>198</v>
      </c>
      <c r="R45" s="14" t="s">
        <v>45</v>
      </c>
      <c r="S45" s="68">
        <f>O30-273</f>
        <v>25.19717595</v>
      </c>
      <c r="AF45" s="27">
        <f t="shared" ref="AF45:AF46" si="22">AF44+C55</f>
        <v>11.5</v>
      </c>
      <c r="AG45" s="27">
        <f>S38</f>
        <v>37.97963403</v>
      </c>
    </row>
    <row r="46">
      <c r="A46" s="13" t="s">
        <v>257</v>
      </c>
      <c r="B46" s="14" t="s">
        <v>21</v>
      </c>
      <c r="C46" s="30">
        <v>0.42</v>
      </c>
      <c r="E46" s="13" t="s">
        <v>239</v>
      </c>
      <c r="F46" s="14" t="s">
        <v>22</v>
      </c>
      <c r="G46" s="18">
        <f>C38/1000</f>
        <v>0.0025</v>
      </c>
      <c r="I46" s="9" t="s">
        <v>258</v>
      </c>
      <c r="J46" s="2"/>
      <c r="K46" s="3"/>
      <c r="M46" s="13" t="s">
        <v>259</v>
      </c>
      <c r="N46" s="14" t="s">
        <v>24</v>
      </c>
      <c r="O46" s="22">
        <f>O45+$O$27*$O$26</f>
        <v>322.5761325</v>
      </c>
      <c r="Q46" s="13" t="s">
        <v>192</v>
      </c>
      <c r="R46" s="14" t="s">
        <v>45</v>
      </c>
      <c r="S46" s="68">
        <f>O29-273</f>
        <v>25.19592681</v>
      </c>
      <c r="AF46" s="27">
        <f t="shared" si="22"/>
        <v>12.5</v>
      </c>
      <c r="AG46" s="27">
        <f>S37</f>
        <v>37.98088318</v>
      </c>
    </row>
    <row r="47">
      <c r="A47" s="24" t="s">
        <v>260</v>
      </c>
      <c r="B47" s="25" t="s">
        <v>21</v>
      </c>
      <c r="C47" s="31">
        <v>2.1</v>
      </c>
      <c r="E47" s="13" t="s">
        <v>152</v>
      </c>
      <c r="F47" s="14" t="s">
        <v>52</v>
      </c>
      <c r="G47" s="18">
        <f>C10</f>
        <v>112.1</v>
      </c>
      <c r="I47" s="13" t="s">
        <v>261</v>
      </c>
      <c r="J47" s="14" t="s">
        <v>24</v>
      </c>
      <c r="K47" s="18">
        <f t="shared" ref="K47:K48" si="23">C6+273</f>
        <v>503</v>
      </c>
      <c r="M47" s="13" t="s">
        <v>262</v>
      </c>
      <c r="N47" s="14" t="s">
        <v>24</v>
      </c>
      <c r="O47" s="22">
        <f>O46+$O$27*$O$25</f>
        <v>325.4736958</v>
      </c>
      <c r="P47" s="72" t="s">
        <v>263</v>
      </c>
      <c r="Q47" s="13" t="s">
        <v>264</v>
      </c>
      <c r="R47" s="14" t="s">
        <v>45</v>
      </c>
      <c r="S47" s="68">
        <f>O28-273</f>
        <v>22.00124915</v>
      </c>
      <c r="AF47" s="27">
        <f t="shared" ref="AF47:AF48" si="24">AF46+C55</f>
        <v>14</v>
      </c>
      <c r="AG47" s="27">
        <f>S36</f>
        <v>40.8784464</v>
      </c>
    </row>
    <row r="48">
      <c r="A48" s="77" t="s">
        <v>265</v>
      </c>
      <c r="B48" s="11"/>
      <c r="C48" s="12"/>
      <c r="E48" s="32" t="s">
        <v>266</v>
      </c>
      <c r="F48" s="33" t="s">
        <v>110</v>
      </c>
      <c r="G48" s="34">
        <f>LN((G45/G44))/(2*pi()*G46*G47)</f>
        <v>0.6239057138</v>
      </c>
      <c r="I48" s="13" t="s">
        <v>111</v>
      </c>
      <c r="J48" s="14" t="s">
        <v>24</v>
      </c>
      <c r="K48" s="18">
        <f t="shared" si="23"/>
        <v>295</v>
      </c>
      <c r="M48" s="13" t="s">
        <v>267</v>
      </c>
      <c r="N48" s="14" t="s">
        <v>24</v>
      </c>
      <c r="O48" s="22">
        <f>O47+$O$27*$O$26</f>
        <v>325.4749449</v>
      </c>
      <c r="Q48" s="24" t="s">
        <v>142</v>
      </c>
      <c r="R48" s="25" t="s">
        <v>45</v>
      </c>
      <c r="S48" s="78">
        <f>C7</f>
        <v>22</v>
      </c>
      <c r="AF48" s="27">
        <f t="shared" si="24"/>
        <v>15</v>
      </c>
      <c r="AG48" s="27">
        <f>S35</f>
        <v>40.87969552</v>
      </c>
    </row>
    <row r="49">
      <c r="A49" s="19" t="s">
        <v>35</v>
      </c>
      <c r="B49" s="16" t="s">
        <v>21</v>
      </c>
      <c r="C49" s="40">
        <v>1.0</v>
      </c>
      <c r="E49" s="9" t="s">
        <v>268</v>
      </c>
      <c r="F49" s="2"/>
      <c r="G49" s="3"/>
      <c r="I49" s="13" t="s">
        <v>120</v>
      </c>
      <c r="J49" s="14" t="s">
        <v>110</v>
      </c>
      <c r="K49" s="18">
        <f>K8</f>
        <v>5126.587034</v>
      </c>
      <c r="M49" s="13" t="s">
        <v>269</v>
      </c>
      <c r="N49" s="14" t="s">
        <v>24</v>
      </c>
      <c r="O49" s="22">
        <f>O48+$O$27*$O$25</f>
        <v>328.3725081</v>
      </c>
      <c r="P49" s="72" t="s">
        <v>270</v>
      </c>
      <c r="AF49" s="27">
        <f t="shared" ref="AF49:AF50" si="25">AF48+C55</f>
        <v>16.5</v>
      </c>
      <c r="AG49" s="27">
        <f>S34</f>
        <v>43.77725874</v>
      </c>
    </row>
    <row r="50">
      <c r="A50" s="13" t="s">
        <v>39</v>
      </c>
      <c r="B50" s="14" t="s">
        <v>21</v>
      </c>
      <c r="C50" s="30">
        <v>3.5</v>
      </c>
      <c r="E50" s="19" t="s">
        <v>200</v>
      </c>
      <c r="F50" s="16" t="s">
        <v>52</v>
      </c>
      <c r="G50" s="45">
        <f>C9</f>
        <v>155.3</v>
      </c>
      <c r="I50" s="46" t="s">
        <v>121</v>
      </c>
      <c r="J50" s="28" t="s">
        <v>113</v>
      </c>
      <c r="K50" s="59">
        <f>(K47-K48)/K49</f>
        <v>0.04057280187</v>
      </c>
      <c r="M50" s="13" t="s">
        <v>271</v>
      </c>
      <c r="N50" s="14" t="s">
        <v>24</v>
      </c>
      <c r="O50" s="18">
        <f>O49+$O$27*$O$26</f>
        <v>328.3737572</v>
      </c>
      <c r="AF50" s="27">
        <f t="shared" si="25"/>
        <v>17.5</v>
      </c>
      <c r="AG50" s="27">
        <f>S33</f>
        <v>43.77850786</v>
      </c>
    </row>
    <row r="51">
      <c r="A51" s="9" t="s">
        <v>74</v>
      </c>
      <c r="B51" s="2"/>
      <c r="C51" s="3"/>
      <c r="E51" s="13" t="s">
        <v>239</v>
      </c>
      <c r="F51" s="14" t="s">
        <v>22</v>
      </c>
      <c r="G51" s="18">
        <f>C38/1000</f>
        <v>0.0025</v>
      </c>
      <c r="I51" s="9" t="s">
        <v>272</v>
      </c>
      <c r="J51" s="2"/>
      <c r="K51" s="3"/>
      <c r="M51" s="46" t="s">
        <v>273</v>
      </c>
      <c r="N51" s="28" t="s">
        <v>24</v>
      </c>
      <c r="O51" s="47">
        <f>O50+$O$27*$O$25</f>
        <v>331.2713204</v>
      </c>
      <c r="P51" s="72" t="s">
        <v>274</v>
      </c>
      <c r="AF51" s="27">
        <f t="shared" ref="AF51:AF52" si="26">AF50+C55</f>
        <v>19</v>
      </c>
      <c r="AG51" s="27">
        <f>S32</f>
        <v>46.67607108</v>
      </c>
    </row>
    <row r="52">
      <c r="A52" s="19" t="s">
        <v>35</v>
      </c>
      <c r="B52" s="16" t="s">
        <v>21</v>
      </c>
      <c r="C52" s="40">
        <f>average(2.1,3.5)</f>
        <v>2.8</v>
      </c>
      <c r="E52" s="13" t="s">
        <v>65</v>
      </c>
      <c r="F52" s="14" t="s">
        <v>22</v>
      </c>
      <c r="G52" s="18">
        <f t="shared" ref="G52:G53" si="27">C35/1000</f>
        <v>0.023</v>
      </c>
      <c r="I52" s="13" t="s">
        <v>261</v>
      </c>
      <c r="J52" s="14" t="s">
        <v>24</v>
      </c>
      <c r="K52" s="18">
        <f t="shared" ref="K52:K53" si="28">C6+273</f>
        <v>503</v>
      </c>
      <c r="AF52" s="27">
        <f t="shared" si="26"/>
        <v>20</v>
      </c>
      <c r="AG52" s="27">
        <f>S31</f>
        <v>46.6773202</v>
      </c>
    </row>
    <row r="53">
      <c r="A53" s="13" t="s">
        <v>78</v>
      </c>
      <c r="B53" s="14" t="s">
        <v>21</v>
      </c>
      <c r="C53" s="30">
        <v>4.0</v>
      </c>
      <c r="E53" s="13" t="s">
        <v>68</v>
      </c>
      <c r="F53" s="14" t="s">
        <v>22</v>
      </c>
      <c r="G53" s="18">
        <f t="shared" si="27"/>
        <v>0.016</v>
      </c>
      <c r="I53" s="13" t="s">
        <v>111</v>
      </c>
      <c r="J53" s="14" t="s">
        <v>24</v>
      </c>
      <c r="K53" s="18">
        <f t="shared" si="28"/>
        <v>295</v>
      </c>
      <c r="M53" s="9" t="s">
        <v>275</v>
      </c>
      <c r="N53" s="2"/>
      <c r="O53" s="3"/>
      <c r="AF53" s="27">
        <f t="shared" ref="AF53:AF54" si="29">AF52+C55</f>
        <v>21.5</v>
      </c>
      <c r="AG53" s="27">
        <f>S30</f>
        <v>49.57488342</v>
      </c>
    </row>
    <row r="54">
      <c r="A54" s="13" t="s">
        <v>39</v>
      </c>
      <c r="B54" s="14" t="s">
        <v>21</v>
      </c>
      <c r="C54" s="30">
        <v>11.0</v>
      </c>
      <c r="E54" s="13" t="s">
        <v>220</v>
      </c>
      <c r="F54" s="14" t="s">
        <v>28</v>
      </c>
      <c r="G54" s="18">
        <f>G53*G52</f>
        <v>0.000368</v>
      </c>
      <c r="I54" s="13" t="s">
        <v>247</v>
      </c>
      <c r="J54" s="14" t="s">
        <v>110</v>
      </c>
      <c r="K54" s="18">
        <f>K41</f>
        <v>60.86496423</v>
      </c>
      <c r="M54" s="19" t="s">
        <v>276</v>
      </c>
      <c r="N54" s="16" t="s">
        <v>110</v>
      </c>
      <c r="O54" s="45">
        <f>K12</f>
        <v>10.0232084</v>
      </c>
      <c r="AF54" s="27">
        <f t="shared" si="29"/>
        <v>22.5</v>
      </c>
      <c r="AG54" s="27">
        <f>S29</f>
        <v>49.57613254</v>
      </c>
    </row>
    <row r="55">
      <c r="A55" s="13" t="s">
        <v>85</v>
      </c>
      <c r="B55" s="14" t="s">
        <v>21</v>
      </c>
      <c r="C55" s="30">
        <v>1.5</v>
      </c>
      <c r="E55" s="13" t="s">
        <v>229</v>
      </c>
      <c r="F55" s="14" t="s">
        <v>28</v>
      </c>
      <c r="G55" s="18">
        <f>pi()*G45^2</f>
        <v>0.00002827433388</v>
      </c>
      <c r="I55" s="46" t="s">
        <v>159</v>
      </c>
      <c r="J55" s="28" t="s">
        <v>113</v>
      </c>
      <c r="K55" s="59">
        <f>(K52-K53)/K54</f>
        <v>3.41740117</v>
      </c>
      <c r="M55" s="24" t="s">
        <v>277</v>
      </c>
      <c r="N55" s="25" t="s">
        <v>113</v>
      </c>
      <c r="O55" s="71">
        <f>K55</f>
        <v>3.41740117</v>
      </c>
      <c r="AF55" s="27">
        <f t="shared" ref="AF55:AF56" si="30">AF54+C55</f>
        <v>24</v>
      </c>
      <c r="AG55" s="27">
        <f>S28</f>
        <v>52.47369577</v>
      </c>
    </row>
    <row r="56">
      <c r="A56" s="24" t="s">
        <v>90</v>
      </c>
      <c r="B56" s="25" t="s">
        <v>21</v>
      </c>
      <c r="C56" s="31">
        <v>1.0</v>
      </c>
      <c r="E56" s="13" t="s">
        <v>234</v>
      </c>
      <c r="F56" s="14" t="s">
        <v>28</v>
      </c>
      <c r="G56" s="18">
        <f>G54-G55</f>
        <v>0.0003397256661</v>
      </c>
      <c r="M56" s="13" t="s">
        <v>278</v>
      </c>
      <c r="N56" s="16" t="s">
        <v>24</v>
      </c>
      <c r="O56" s="64">
        <f>O51+$O$55*$O$54</f>
        <v>365.5246445</v>
      </c>
      <c r="AF56" s="27">
        <f t="shared" si="30"/>
        <v>25</v>
      </c>
      <c r="AG56" s="27">
        <f>S27</f>
        <v>52.47494488</v>
      </c>
    </row>
    <row r="57">
      <c r="E57" s="46" t="s">
        <v>279</v>
      </c>
      <c r="F57" s="28" t="s">
        <v>110</v>
      </c>
      <c r="G57" s="47">
        <f>G51/(G50*G56)</f>
        <v>0.04738492462</v>
      </c>
      <c r="I57" s="1" t="s">
        <v>280</v>
      </c>
      <c r="J57" s="2"/>
      <c r="K57" s="3"/>
      <c r="M57" s="13" t="s">
        <v>281</v>
      </c>
      <c r="N57" s="14" t="s">
        <v>24</v>
      </c>
      <c r="O57" s="22">
        <f t="shared" ref="O57:O59" si="31">O56+$O$55*$O$54</f>
        <v>399.7779686</v>
      </c>
      <c r="AF57" s="27">
        <f t="shared" ref="AF57:AF58" si="32">AF56+C55</f>
        <v>26.5</v>
      </c>
      <c r="AG57" s="27">
        <f>S26</f>
        <v>55.37250811</v>
      </c>
    </row>
    <row r="58">
      <c r="A58" s="72" t="s">
        <v>282</v>
      </c>
      <c r="E58" s="69" t="s">
        <v>129</v>
      </c>
      <c r="F58" s="3"/>
      <c r="G58" s="70">
        <f>((1/G48)+(1/G57))^(-1)</f>
        <v>0.04404012737</v>
      </c>
      <c r="M58" s="13" t="s">
        <v>283</v>
      </c>
      <c r="N58" s="14" t="s">
        <v>24</v>
      </c>
      <c r="O58" s="22">
        <f t="shared" si="31"/>
        <v>434.0312927</v>
      </c>
      <c r="AF58" s="27">
        <f t="shared" si="32"/>
        <v>27.5</v>
      </c>
      <c r="AG58" s="27">
        <f>S25</f>
        <v>55.37375722</v>
      </c>
    </row>
    <row r="59">
      <c r="I59" s="9" t="s">
        <v>284</v>
      </c>
      <c r="J59" s="2"/>
      <c r="K59" s="3"/>
      <c r="M59" s="24" t="s">
        <v>285</v>
      </c>
      <c r="N59" s="25" t="s">
        <v>24</v>
      </c>
      <c r="O59" s="79">
        <f t="shared" si="31"/>
        <v>468.2846169</v>
      </c>
      <c r="AF59" s="27">
        <f>AF58+C56</f>
        <v>28.5</v>
      </c>
      <c r="AG59" s="27">
        <f>S24</f>
        <v>58.27132045</v>
      </c>
    </row>
    <row r="60">
      <c r="E60" s="53" t="s">
        <v>133</v>
      </c>
      <c r="F60" s="2"/>
      <c r="G60" s="3"/>
      <c r="I60" s="19" t="s">
        <v>147</v>
      </c>
      <c r="J60" s="16" t="s">
        <v>55</v>
      </c>
      <c r="K60" s="45">
        <f>C17</f>
        <v>1240</v>
      </c>
    </row>
    <row r="61">
      <c r="I61" s="13" t="s">
        <v>286</v>
      </c>
      <c r="J61" s="14" t="s">
        <v>15</v>
      </c>
      <c r="K61" s="80">
        <f>C18/10^9</f>
        <v>0.000000015</v>
      </c>
      <c r="M61" s="9" t="s">
        <v>287</v>
      </c>
      <c r="N61" s="2"/>
      <c r="O61" s="3"/>
    </row>
    <row r="62">
      <c r="E62" s="9" t="s">
        <v>288</v>
      </c>
      <c r="F62" s="2"/>
      <c r="G62" s="3"/>
      <c r="I62" s="46" t="s">
        <v>289</v>
      </c>
      <c r="J62" s="28" t="s">
        <v>290</v>
      </c>
      <c r="K62" s="81">
        <f>K61*K60</f>
        <v>0.0000186</v>
      </c>
      <c r="M62" s="13" t="s">
        <v>291</v>
      </c>
      <c r="N62" s="14" t="s">
        <v>24</v>
      </c>
      <c r="O62" s="18">
        <f>O59</f>
        <v>468.2846169</v>
      </c>
    </row>
    <row r="63">
      <c r="E63" s="19" t="s">
        <v>35</v>
      </c>
      <c r="F63" s="16" t="s">
        <v>22</v>
      </c>
      <c r="G63" s="45">
        <f t="shared" ref="G63:G64" si="33">C41/1000</f>
        <v>0.001</v>
      </c>
      <c r="I63" s="9" t="s">
        <v>127</v>
      </c>
      <c r="J63" s="2"/>
      <c r="K63" s="3"/>
      <c r="M63" s="13" t="s">
        <v>292</v>
      </c>
      <c r="N63" s="14" t="s">
        <v>110</v>
      </c>
      <c r="O63" s="18">
        <f>K12</f>
        <v>10.0232084</v>
      </c>
    </row>
    <row r="64">
      <c r="E64" s="13" t="s">
        <v>39</v>
      </c>
      <c r="F64" s="14" t="s">
        <v>22</v>
      </c>
      <c r="G64" s="18">
        <f t="shared" si="33"/>
        <v>0.003</v>
      </c>
      <c r="I64" s="13" t="s">
        <v>289</v>
      </c>
      <c r="J64" s="16" t="s">
        <v>290</v>
      </c>
      <c r="K64" s="36">
        <f>K62</f>
        <v>0.0000186</v>
      </c>
      <c r="M64" s="13" t="s">
        <v>159</v>
      </c>
      <c r="N64" s="14" t="s">
        <v>113</v>
      </c>
      <c r="O64" s="18">
        <f>K55</f>
        <v>3.41740117</v>
      </c>
    </row>
    <row r="65">
      <c r="E65" s="13" t="s">
        <v>242</v>
      </c>
      <c r="F65" s="14" t="s">
        <v>22</v>
      </c>
      <c r="G65" s="18">
        <f>C39/1000</f>
        <v>0.005</v>
      </c>
      <c r="I65" s="13" t="s">
        <v>293</v>
      </c>
      <c r="J65" s="14" t="s">
        <v>157</v>
      </c>
      <c r="K65" s="18">
        <f>C19</f>
        <v>1800</v>
      </c>
      <c r="M65" s="46" t="s">
        <v>160</v>
      </c>
      <c r="N65" s="28" t="s">
        <v>24</v>
      </c>
      <c r="O65" s="59">
        <f>O62+O63*O64</f>
        <v>502.537941</v>
      </c>
    </row>
    <row r="66">
      <c r="E66" s="13" t="s">
        <v>294</v>
      </c>
      <c r="F66" s="14" t="s">
        <v>52</v>
      </c>
      <c r="G66" s="18">
        <f>C11</f>
        <v>14.58</v>
      </c>
      <c r="I66" s="13" t="s">
        <v>295</v>
      </c>
      <c r="J66" s="14" t="s">
        <v>24</v>
      </c>
      <c r="K66" s="18">
        <f t="shared" ref="K66:K67" si="34">C20+273</f>
        <v>295</v>
      </c>
      <c r="M66" s="9" t="s">
        <v>296</v>
      </c>
      <c r="N66" s="2"/>
      <c r="O66" s="3"/>
    </row>
    <row r="67">
      <c r="E67" s="32" t="s">
        <v>297</v>
      </c>
      <c r="F67" s="28" t="s">
        <v>110</v>
      </c>
      <c r="G67" s="34">
        <f>LN((G64/G63))/(2*pi()*G65*G66)</f>
        <v>2.398485271</v>
      </c>
      <c r="I67" s="13" t="s">
        <v>298</v>
      </c>
      <c r="J67" s="14" t="s">
        <v>24</v>
      </c>
      <c r="K67" s="18">
        <f t="shared" si="34"/>
        <v>503</v>
      </c>
      <c r="M67" s="13" t="s">
        <v>299</v>
      </c>
      <c r="N67" s="14" t="s">
        <v>24</v>
      </c>
      <c r="O67" s="18">
        <f>O65</f>
        <v>502.537941</v>
      </c>
    </row>
    <row r="68">
      <c r="E68" s="9" t="s">
        <v>300</v>
      </c>
      <c r="F68" s="2"/>
      <c r="G68" s="3"/>
      <c r="I68" s="46" t="s">
        <v>301</v>
      </c>
      <c r="J68" s="28" t="s">
        <v>113</v>
      </c>
      <c r="K68" s="82">
        <f>K64*K65*(K67-K66)</f>
        <v>6.96384</v>
      </c>
      <c r="M68" s="13" t="s">
        <v>133</v>
      </c>
      <c r="N68" s="14" t="s">
        <v>110</v>
      </c>
      <c r="O68" s="18">
        <f>K11</f>
        <v>0.09116760082</v>
      </c>
    </row>
    <row r="69">
      <c r="E69" s="19" t="s">
        <v>200</v>
      </c>
      <c r="F69" s="16" t="s">
        <v>52</v>
      </c>
      <c r="G69" s="45">
        <f>C9</f>
        <v>155.3</v>
      </c>
      <c r="M69" s="13" t="s">
        <v>159</v>
      </c>
      <c r="N69" s="14" t="s">
        <v>113</v>
      </c>
      <c r="O69" s="18">
        <f>K55</f>
        <v>3.41740117</v>
      </c>
    </row>
    <row r="70">
      <c r="E70" s="13" t="s">
        <v>242</v>
      </c>
      <c r="F70" s="14" t="s">
        <v>22</v>
      </c>
      <c r="G70" s="18">
        <f>C39/1000</f>
        <v>0.005</v>
      </c>
      <c r="I70" s="1" t="s">
        <v>302</v>
      </c>
      <c r="J70" s="2"/>
      <c r="K70" s="3"/>
      <c r="M70" s="46" t="s">
        <v>160</v>
      </c>
      <c r="N70" s="28" t="s">
        <v>24</v>
      </c>
      <c r="O70" s="59">
        <f>O67+O68*O69</f>
        <v>502.8494972</v>
      </c>
    </row>
    <row r="71">
      <c r="E71" s="13" t="s">
        <v>65</v>
      </c>
      <c r="F71" s="14" t="s">
        <v>22</v>
      </c>
      <c r="G71" s="18">
        <f t="shared" ref="G71:G72" si="35">C35/1000</f>
        <v>0.023</v>
      </c>
    </row>
    <row r="72">
      <c r="E72" s="13" t="s">
        <v>68</v>
      </c>
      <c r="F72" s="14" t="s">
        <v>22</v>
      </c>
      <c r="G72" s="18">
        <f t="shared" si="35"/>
        <v>0.016</v>
      </c>
      <c r="I72" s="50" t="s">
        <v>5</v>
      </c>
      <c r="J72" s="7" t="s">
        <v>6</v>
      </c>
      <c r="K72" s="51" t="s">
        <v>7</v>
      </c>
    </row>
    <row r="73">
      <c r="E73" s="13" t="s">
        <v>220</v>
      </c>
      <c r="F73" s="14" t="s">
        <v>28</v>
      </c>
      <c r="G73" s="18">
        <f>G71*G72</f>
        <v>0.000368</v>
      </c>
      <c r="I73" s="9" t="s">
        <v>258</v>
      </c>
      <c r="J73" s="2"/>
      <c r="K73" s="3"/>
    </row>
    <row r="74">
      <c r="E74" s="13" t="s">
        <v>229</v>
      </c>
      <c r="F74" s="14" t="s">
        <v>28</v>
      </c>
      <c r="G74" s="18">
        <f>pi()*G64^2</f>
        <v>0.00002827433388</v>
      </c>
      <c r="I74" s="13" t="s">
        <v>121</v>
      </c>
      <c r="J74" s="14" t="s">
        <v>113</v>
      </c>
      <c r="K74" s="18">
        <f>K50</f>
        <v>0.04057280187</v>
      </c>
    </row>
    <row r="75">
      <c r="E75" s="13" t="s">
        <v>234</v>
      </c>
      <c r="F75" s="14" t="s">
        <v>28</v>
      </c>
      <c r="G75" s="18">
        <f>G73-G74</f>
        <v>0.0003397256661</v>
      </c>
      <c r="I75" s="13" t="s">
        <v>159</v>
      </c>
      <c r="J75" s="14" t="s">
        <v>113</v>
      </c>
      <c r="K75" s="18">
        <f>K55</f>
        <v>3.41740117</v>
      </c>
    </row>
    <row r="76">
      <c r="E76" s="46" t="s">
        <v>303</v>
      </c>
      <c r="F76" s="28" t="s">
        <v>110</v>
      </c>
      <c r="G76" s="47">
        <f>G70/(G69*G75)</f>
        <v>0.09476984924</v>
      </c>
      <c r="I76" s="13" t="s">
        <v>301</v>
      </c>
      <c r="J76" s="14" t="s">
        <v>113</v>
      </c>
      <c r="K76" s="83">
        <f>K68</f>
        <v>6.96384</v>
      </c>
    </row>
    <row r="77">
      <c r="E77" s="69" t="s">
        <v>133</v>
      </c>
      <c r="F77" s="3"/>
      <c r="G77" s="70">
        <f>((1/G67)+(1/G76))^(-1)</f>
        <v>0.09116760082</v>
      </c>
      <c r="I77" s="46" t="s">
        <v>112</v>
      </c>
      <c r="J77" s="28" t="s">
        <v>113</v>
      </c>
      <c r="K77" s="59">
        <f>SUM(K74:K76)</f>
        <v>10.42181397</v>
      </c>
    </row>
    <row r="79">
      <c r="E79" s="53" t="s">
        <v>292</v>
      </c>
      <c r="F79" s="2"/>
      <c r="G79" s="3"/>
    </row>
    <row r="81">
      <c r="E81" s="9" t="s">
        <v>304</v>
      </c>
      <c r="F81" s="2"/>
      <c r="G81" s="3"/>
      <c r="I81" s="1" t="s">
        <v>305</v>
      </c>
      <c r="J81" s="2"/>
      <c r="K81" s="3"/>
    </row>
    <row r="82">
      <c r="E82" s="19" t="s">
        <v>35</v>
      </c>
      <c r="F82" s="16" t="s">
        <v>22</v>
      </c>
      <c r="G82" s="45">
        <f t="shared" ref="G82:G84" si="36">C44/1000</f>
        <v>0.001</v>
      </c>
    </row>
    <row r="83">
      <c r="E83" s="13" t="s">
        <v>39</v>
      </c>
      <c r="F83" s="14" t="s">
        <v>22</v>
      </c>
      <c r="G83" s="18">
        <f t="shared" si="36"/>
        <v>0.00148</v>
      </c>
      <c r="I83" s="50" t="s">
        <v>5</v>
      </c>
      <c r="J83" s="7" t="s">
        <v>6</v>
      </c>
      <c r="K83" s="51" t="s">
        <v>7</v>
      </c>
    </row>
    <row r="84">
      <c r="E84" s="13" t="s">
        <v>43</v>
      </c>
      <c r="F84" s="14" t="s">
        <v>22</v>
      </c>
      <c r="G84" s="18">
        <f t="shared" si="36"/>
        <v>0.00042</v>
      </c>
      <c r="I84" s="9" t="s">
        <v>306</v>
      </c>
      <c r="J84" s="2"/>
      <c r="K84" s="3"/>
    </row>
    <row r="85">
      <c r="E85" s="13" t="s">
        <v>294</v>
      </c>
      <c r="F85" s="14" t="s">
        <v>52</v>
      </c>
      <c r="G85" s="18">
        <f>C11</f>
        <v>14.58</v>
      </c>
      <c r="I85" s="13" t="s">
        <v>307</v>
      </c>
      <c r="J85" s="16" t="s">
        <v>113</v>
      </c>
      <c r="K85" s="84">
        <f>30-K74-K75</f>
        <v>26.54202603</v>
      </c>
    </row>
    <row r="86">
      <c r="E86" s="32" t="s">
        <v>308</v>
      </c>
      <c r="F86" s="33" t="s">
        <v>110</v>
      </c>
      <c r="G86" s="34">
        <f>LN((G83/G82))/(2*pi()*G84*G85)</f>
        <v>10.18933898</v>
      </c>
      <c r="I86" s="13" t="s">
        <v>293</v>
      </c>
      <c r="J86" s="14" t="s">
        <v>157</v>
      </c>
      <c r="K86" s="18">
        <f>C19</f>
        <v>1800</v>
      </c>
    </row>
    <row r="87">
      <c r="E87" s="9" t="s">
        <v>309</v>
      </c>
      <c r="F87" s="2"/>
      <c r="G87" s="3"/>
      <c r="I87" s="13" t="s">
        <v>295</v>
      </c>
      <c r="J87" s="14" t="s">
        <v>24</v>
      </c>
      <c r="K87" s="18">
        <f t="shared" ref="K87:K88" si="37">C20+273</f>
        <v>295</v>
      </c>
    </row>
    <row r="88">
      <c r="E88" s="19" t="s">
        <v>310</v>
      </c>
      <c r="F88" s="16" t="s">
        <v>19</v>
      </c>
      <c r="G88" s="61">
        <f>C13</f>
        <v>4.504503146</v>
      </c>
      <c r="I88" s="13" t="s">
        <v>298</v>
      </c>
      <c r="J88" s="14" t="s">
        <v>24</v>
      </c>
      <c r="K88" s="18">
        <f t="shared" si="37"/>
        <v>503</v>
      </c>
    </row>
    <row r="89">
      <c r="E89" s="13" t="s">
        <v>65</v>
      </c>
      <c r="F89" s="14" t="s">
        <v>22</v>
      </c>
      <c r="G89" s="18">
        <f t="shared" ref="G89:G90" si="38">C35/1000</f>
        <v>0.023</v>
      </c>
      <c r="I89" s="46" t="s">
        <v>289</v>
      </c>
      <c r="J89" s="28" t="s">
        <v>290</v>
      </c>
      <c r="K89" s="81">
        <f>K85/(K86*(K88-K87))</f>
        <v>0.00007089216354</v>
      </c>
    </row>
    <row r="90">
      <c r="E90" s="13" t="s">
        <v>68</v>
      </c>
      <c r="F90" s="14" t="s">
        <v>22</v>
      </c>
      <c r="G90" s="18">
        <f t="shared" si="38"/>
        <v>0.016</v>
      </c>
      <c r="I90" s="9" t="s">
        <v>311</v>
      </c>
      <c r="J90" s="2"/>
      <c r="K90" s="3"/>
    </row>
    <row r="91">
      <c r="E91" s="13" t="s">
        <v>220</v>
      </c>
      <c r="F91" s="14" t="s">
        <v>28</v>
      </c>
      <c r="G91" s="18">
        <f>G90*G89</f>
        <v>0.000368</v>
      </c>
      <c r="I91" s="19" t="s">
        <v>289</v>
      </c>
      <c r="J91" s="16" t="s">
        <v>290</v>
      </c>
      <c r="K91" s="85">
        <f>K89</f>
        <v>0.00007089216354</v>
      </c>
    </row>
    <row r="92">
      <c r="E92" s="13" t="s">
        <v>229</v>
      </c>
      <c r="F92" s="14" t="s">
        <v>28</v>
      </c>
      <c r="G92" s="18">
        <f>pi()*G83^2</f>
        <v>0.000006881344548</v>
      </c>
      <c r="I92" s="13" t="s">
        <v>147</v>
      </c>
      <c r="J92" s="14" t="s">
        <v>55</v>
      </c>
      <c r="K92" s="80">
        <f>C17</f>
        <v>1240</v>
      </c>
    </row>
    <row r="93">
      <c r="E93" s="13" t="s">
        <v>234</v>
      </c>
      <c r="F93" s="14" t="s">
        <v>28</v>
      </c>
      <c r="G93" s="18">
        <f>G91-G92</f>
        <v>0.0003611186555</v>
      </c>
      <c r="I93" s="46" t="s">
        <v>312</v>
      </c>
      <c r="J93" s="28" t="s">
        <v>15</v>
      </c>
      <c r="K93" s="81">
        <f>K91/K92</f>
        <v>0.00000005717109963</v>
      </c>
    </row>
    <row r="94">
      <c r="E94" s="46" t="s">
        <v>313</v>
      </c>
      <c r="F94" s="25" t="s">
        <v>110</v>
      </c>
      <c r="G94" s="59">
        <f>1/(G88*G93)</f>
        <v>614.7565727</v>
      </c>
      <c r="I94" s="86" t="s">
        <v>312</v>
      </c>
      <c r="J94" s="87" t="s">
        <v>151</v>
      </c>
      <c r="K94" s="88">
        <f>K93*10^9</f>
        <v>57.17109963</v>
      </c>
    </row>
    <row r="95">
      <c r="E95" s="69" t="s">
        <v>292</v>
      </c>
      <c r="F95" s="3"/>
      <c r="G95" s="70">
        <f>((1/G86)+(1/G94))^(-1)</f>
        <v>10.0232084</v>
      </c>
    </row>
    <row r="96">
      <c r="I96" s="72" t="s">
        <v>314</v>
      </c>
      <c r="J96" s="72" t="s">
        <v>315</v>
      </c>
      <c r="K96" s="72" t="s">
        <v>316</v>
      </c>
      <c r="L96" s="72" t="s">
        <v>315</v>
      </c>
      <c r="O96" s="72" t="s">
        <v>317</v>
      </c>
      <c r="P96" s="72" t="s">
        <v>226</v>
      </c>
    </row>
    <row r="97">
      <c r="E97" s="89" t="s">
        <v>318</v>
      </c>
      <c r="F97" s="2"/>
      <c r="G97" s="3"/>
      <c r="I97" s="72">
        <v>0.0</v>
      </c>
      <c r="J97" s="90">
        <f t="shared" ref="J97:J217" si="39">((I97/($K$86*($K$88-$K$87)))/$K$92)*10^9</f>
        <v>0</v>
      </c>
      <c r="K97" s="27">
        <f t="shared" ref="K97:K217" si="40">I97-$K$74-$K$75</f>
        <v>-3.457973972</v>
      </c>
      <c r="L97" s="91">
        <f t="shared" ref="L97:L217" si="41">((K97/($K$86*($K$88-$K$87)))/$K$92)*10^9</f>
        <v>-7.448420639</v>
      </c>
      <c r="O97" s="72">
        <v>0.0</v>
      </c>
      <c r="P97" s="27">
        <f t="shared" ref="P97:P116" si="42">S18</f>
        <v>229.8494972</v>
      </c>
    </row>
    <row r="98">
      <c r="I98" s="72">
        <v>1.0</v>
      </c>
      <c r="J98" s="90">
        <f t="shared" si="39"/>
        <v>2.153984009</v>
      </c>
      <c r="K98" s="27">
        <f t="shared" si="40"/>
        <v>-2.457973972</v>
      </c>
      <c r="L98" s="91">
        <f t="shared" si="41"/>
        <v>-5.29443663</v>
      </c>
      <c r="O98" s="72">
        <v>5.0</v>
      </c>
      <c r="P98" s="27">
        <f t="shared" si="42"/>
        <v>229.537941</v>
      </c>
    </row>
    <row r="99">
      <c r="E99" s="9" t="s">
        <v>319</v>
      </c>
      <c r="F99" s="2"/>
      <c r="G99" s="3"/>
      <c r="I99" s="72">
        <v>2.0</v>
      </c>
      <c r="J99" s="90">
        <f t="shared" si="39"/>
        <v>4.307968018</v>
      </c>
      <c r="K99" s="27">
        <f t="shared" si="40"/>
        <v>-1.457973972</v>
      </c>
      <c r="L99" s="91">
        <f t="shared" si="41"/>
        <v>-3.140452621</v>
      </c>
      <c r="O99" s="27">
        <f t="shared" ref="O99:O103" si="43">O98+0.42</f>
        <v>5.42</v>
      </c>
      <c r="P99" s="27">
        <f t="shared" si="42"/>
        <v>195.2846169</v>
      </c>
    </row>
    <row r="100">
      <c r="E100" s="19" t="s">
        <v>35</v>
      </c>
      <c r="F100" s="16" t="s">
        <v>22</v>
      </c>
      <c r="G100" s="45">
        <f>C52/1000</f>
        <v>0.0028</v>
      </c>
      <c r="I100" s="72">
        <v>3.0</v>
      </c>
      <c r="J100" s="90">
        <f t="shared" si="39"/>
        <v>6.461952026</v>
      </c>
      <c r="K100" s="27">
        <f t="shared" si="40"/>
        <v>-0.4579739722</v>
      </c>
      <c r="L100" s="91">
        <f t="shared" si="41"/>
        <v>-0.9864686126</v>
      </c>
      <c r="O100" s="27">
        <f t="shared" si="43"/>
        <v>5.84</v>
      </c>
      <c r="P100" s="27">
        <f t="shared" si="42"/>
        <v>161.0312927</v>
      </c>
    </row>
    <row r="101">
      <c r="E101" s="13" t="s">
        <v>39</v>
      </c>
      <c r="F101" s="14" t="s">
        <v>22</v>
      </c>
      <c r="G101" s="18">
        <f t="shared" ref="G101:G102" si="44">C54/1000</f>
        <v>0.011</v>
      </c>
      <c r="I101" s="72">
        <v>4.0</v>
      </c>
      <c r="J101" s="90">
        <f t="shared" si="39"/>
        <v>8.615936035</v>
      </c>
      <c r="K101" s="27">
        <f t="shared" si="40"/>
        <v>0.5420260278</v>
      </c>
      <c r="L101" s="91">
        <f t="shared" si="41"/>
        <v>1.167515396</v>
      </c>
      <c r="O101" s="27">
        <f t="shared" si="43"/>
        <v>6.26</v>
      </c>
      <c r="P101" s="27">
        <f t="shared" si="42"/>
        <v>126.7779686</v>
      </c>
    </row>
    <row r="102">
      <c r="E102" s="13" t="s">
        <v>43</v>
      </c>
      <c r="F102" s="14" t="s">
        <v>22</v>
      </c>
      <c r="G102" s="18">
        <f t="shared" si="44"/>
        <v>0.0015</v>
      </c>
      <c r="I102" s="72">
        <v>5.0</v>
      </c>
      <c r="J102" s="90">
        <f t="shared" si="39"/>
        <v>10.76992004</v>
      </c>
      <c r="K102" s="27">
        <f t="shared" si="40"/>
        <v>1.542026028</v>
      </c>
      <c r="L102" s="91">
        <f t="shared" si="41"/>
        <v>3.321499405</v>
      </c>
      <c r="O102" s="27">
        <f t="shared" si="43"/>
        <v>6.68</v>
      </c>
      <c r="P102" s="27">
        <f t="shared" si="42"/>
        <v>92.52464455</v>
      </c>
    </row>
    <row r="103">
      <c r="E103" s="13" t="s">
        <v>200</v>
      </c>
      <c r="F103" s="14" t="s">
        <v>52</v>
      </c>
      <c r="G103" s="18">
        <f>C9</f>
        <v>155.3</v>
      </c>
      <c r="I103" s="72">
        <v>6.0</v>
      </c>
      <c r="J103" s="90">
        <f t="shared" si="39"/>
        <v>12.92390405</v>
      </c>
      <c r="K103" s="27">
        <f t="shared" si="40"/>
        <v>2.542026028</v>
      </c>
      <c r="L103" s="91">
        <f t="shared" si="41"/>
        <v>5.475483414</v>
      </c>
      <c r="O103" s="27">
        <f t="shared" si="43"/>
        <v>7.1</v>
      </c>
      <c r="P103" s="27">
        <f t="shared" si="42"/>
        <v>58.27132045</v>
      </c>
    </row>
    <row r="104">
      <c r="E104" s="32" t="s">
        <v>320</v>
      </c>
      <c r="F104" s="33" t="s">
        <v>110</v>
      </c>
      <c r="G104" s="34">
        <f>LN((G101/G100))/(2*pi()*G102*G103)</f>
        <v>0.9348266406</v>
      </c>
      <c r="I104" s="72">
        <v>7.0</v>
      </c>
      <c r="J104" s="90">
        <f t="shared" si="39"/>
        <v>15.07788806</v>
      </c>
      <c r="K104" s="27">
        <f t="shared" si="40"/>
        <v>3.542026028</v>
      </c>
      <c r="L104" s="91">
        <f t="shared" si="41"/>
        <v>7.629467423</v>
      </c>
      <c r="O104" s="27">
        <f>O103+1.5</f>
        <v>8.6</v>
      </c>
      <c r="P104" s="27">
        <f t="shared" si="42"/>
        <v>55.37375722</v>
      </c>
    </row>
    <row r="105">
      <c r="E105" s="9" t="s">
        <v>321</v>
      </c>
      <c r="F105" s="2"/>
      <c r="G105" s="3"/>
      <c r="I105" s="72">
        <v>8.0</v>
      </c>
      <c r="J105" s="90">
        <f t="shared" si="39"/>
        <v>17.23187207</v>
      </c>
      <c r="K105" s="27">
        <f t="shared" si="40"/>
        <v>4.542026028</v>
      </c>
      <c r="L105" s="91">
        <f t="shared" si="41"/>
        <v>9.783451432</v>
      </c>
      <c r="O105" s="27">
        <f>O104+1</f>
        <v>9.6</v>
      </c>
      <c r="P105" s="27">
        <f t="shared" si="42"/>
        <v>55.37250811</v>
      </c>
    </row>
    <row r="106">
      <c r="E106" s="19" t="s">
        <v>35</v>
      </c>
      <c r="F106" s="16" t="s">
        <v>22</v>
      </c>
      <c r="G106" s="45">
        <f t="shared" ref="G106:G107" si="45">C49/1000</f>
        <v>0.001</v>
      </c>
      <c r="I106" s="72">
        <v>9.0</v>
      </c>
      <c r="J106" s="90">
        <f t="shared" si="39"/>
        <v>19.38585608</v>
      </c>
      <c r="K106" s="27">
        <f t="shared" si="40"/>
        <v>5.542026028</v>
      </c>
      <c r="L106" s="91">
        <f t="shared" si="41"/>
        <v>11.93743544</v>
      </c>
      <c r="O106" s="27">
        <f>O105+1.5</f>
        <v>11.1</v>
      </c>
      <c r="P106" s="27">
        <f t="shared" si="42"/>
        <v>52.47494488</v>
      </c>
    </row>
    <row r="107">
      <c r="E107" s="13" t="s">
        <v>39</v>
      </c>
      <c r="F107" s="14" t="s">
        <v>22</v>
      </c>
      <c r="G107" s="18">
        <f t="shared" si="45"/>
        <v>0.0035</v>
      </c>
      <c r="I107" s="72">
        <v>10.0</v>
      </c>
      <c r="J107" s="90">
        <f t="shared" si="39"/>
        <v>21.53984009</v>
      </c>
      <c r="K107" s="27">
        <f t="shared" si="40"/>
        <v>6.542026028</v>
      </c>
      <c r="L107" s="91">
        <f t="shared" si="41"/>
        <v>14.09141945</v>
      </c>
      <c r="O107" s="27">
        <f>O106+1</f>
        <v>12.1</v>
      </c>
      <c r="P107" s="27">
        <f t="shared" si="42"/>
        <v>52.47369577</v>
      </c>
    </row>
    <row r="108">
      <c r="E108" s="13" t="s">
        <v>43</v>
      </c>
      <c r="F108" s="14" t="s">
        <v>22</v>
      </c>
      <c r="G108" s="18">
        <f>C55/1000</f>
        <v>0.0015</v>
      </c>
      <c r="I108" s="72">
        <v>11.0</v>
      </c>
      <c r="J108" s="90">
        <f t="shared" si="39"/>
        <v>23.6938241</v>
      </c>
      <c r="K108" s="27">
        <f t="shared" si="40"/>
        <v>7.542026028</v>
      </c>
      <c r="L108" s="91">
        <f t="shared" si="41"/>
        <v>16.24540346</v>
      </c>
      <c r="O108" s="27">
        <f>O107+1.5</f>
        <v>13.6</v>
      </c>
      <c r="P108" s="27">
        <f t="shared" si="42"/>
        <v>49.57613254</v>
      </c>
    </row>
    <row r="109">
      <c r="E109" s="13" t="s">
        <v>322</v>
      </c>
      <c r="F109" s="14" t="s">
        <v>52</v>
      </c>
      <c r="G109" s="18">
        <f>C11</f>
        <v>14.58</v>
      </c>
      <c r="I109" s="72">
        <v>12.0</v>
      </c>
      <c r="J109" s="90">
        <f t="shared" si="39"/>
        <v>25.84780811</v>
      </c>
      <c r="K109" s="27">
        <f t="shared" si="40"/>
        <v>8.542026028</v>
      </c>
      <c r="L109" s="91">
        <f t="shared" si="41"/>
        <v>18.39938747</v>
      </c>
      <c r="O109" s="27">
        <f>O108+1</f>
        <v>14.6</v>
      </c>
      <c r="P109" s="27">
        <f t="shared" si="42"/>
        <v>49.57488342</v>
      </c>
    </row>
    <row r="110">
      <c r="E110" s="32" t="s">
        <v>323</v>
      </c>
      <c r="F110" s="33" t="s">
        <v>110</v>
      </c>
      <c r="G110" s="34">
        <f>LN((G107/G106))/(2*pi()*G108*G109)</f>
        <v>9.116754411</v>
      </c>
      <c r="I110" s="72">
        <v>13.0</v>
      </c>
      <c r="J110" s="90">
        <f t="shared" si="39"/>
        <v>28.00179211</v>
      </c>
      <c r="K110" s="27">
        <f t="shared" si="40"/>
        <v>9.542026028</v>
      </c>
      <c r="L110" s="91">
        <f t="shared" si="41"/>
        <v>20.55337148</v>
      </c>
      <c r="O110" s="27">
        <f>O109+1.5</f>
        <v>16.1</v>
      </c>
      <c r="P110" s="27">
        <f t="shared" si="42"/>
        <v>46.6773202</v>
      </c>
    </row>
    <row r="111">
      <c r="E111" s="9" t="s">
        <v>324</v>
      </c>
      <c r="F111" s="2"/>
      <c r="G111" s="3"/>
      <c r="I111" s="72">
        <v>14.0</v>
      </c>
      <c r="J111" s="90">
        <f t="shared" si="39"/>
        <v>30.15577612</v>
      </c>
      <c r="K111" s="27">
        <f t="shared" si="40"/>
        <v>10.54202603</v>
      </c>
      <c r="L111" s="91">
        <f t="shared" si="41"/>
        <v>22.70735548</v>
      </c>
      <c r="O111" s="27">
        <f>O110+1</f>
        <v>17.1</v>
      </c>
      <c r="P111" s="27">
        <f t="shared" si="42"/>
        <v>46.67607108</v>
      </c>
    </row>
    <row r="112">
      <c r="E112" s="19" t="s">
        <v>35</v>
      </c>
      <c r="F112" s="16" t="s">
        <v>22</v>
      </c>
      <c r="G112" s="45">
        <f t="shared" ref="G112:G113" si="46">C52/1000</f>
        <v>0.0028</v>
      </c>
      <c r="I112" s="72">
        <v>15.0</v>
      </c>
      <c r="J112" s="90">
        <f t="shared" si="39"/>
        <v>32.30976013</v>
      </c>
      <c r="K112" s="27">
        <f t="shared" si="40"/>
        <v>11.54202603</v>
      </c>
      <c r="L112" s="91">
        <f t="shared" si="41"/>
        <v>24.86133949</v>
      </c>
      <c r="O112" s="27">
        <f>O111+1.5</f>
        <v>18.6</v>
      </c>
      <c r="P112" s="27">
        <f t="shared" si="42"/>
        <v>43.77850786</v>
      </c>
    </row>
    <row r="113">
      <c r="E113" s="13" t="s">
        <v>39</v>
      </c>
      <c r="F113" s="14" t="s">
        <v>22</v>
      </c>
      <c r="G113" s="18">
        <f t="shared" si="46"/>
        <v>0.004</v>
      </c>
      <c r="I113" s="72">
        <v>16.0</v>
      </c>
      <c r="J113" s="90">
        <f t="shared" si="39"/>
        <v>34.46374414</v>
      </c>
      <c r="K113" s="27">
        <f t="shared" si="40"/>
        <v>12.54202603</v>
      </c>
      <c r="L113" s="91">
        <f t="shared" si="41"/>
        <v>27.0153235</v>
      </c>
      <c r="O113" s="27">
        <f>O112+1</f>
        <v>19.6</v>
      </c>
      <c r="P113" s="27">
        <f t="shared" si="42"/>
        <v>43.77725874</v>
      </c>
    </row>
    <row r="114">
      <c r="E114" s="13" t="s">
        <v>43</v>
      </c>
      <c r="F114" s="14" t="s">
        <v>22</v>
      </c>
      <c r="G114" s="18">
        <f>C56</f>
        <v>1</v>
      </c>
      <c r="I114" s="72">
        <v>17.0</v>
      </c>
      <c r="J114" s="90">
        <f t="shared" si="39"/>
        <v>36.61772815</v>
      </c>
      <c r="K114" s="27">
        <f t="shared" si="40"/>
        <v>13.54202603</v>
      </c>
      <c r="L114" s="91">
        <f t="shared" si="41"/>
        <v>29.16930751</v>
      </c>
      <c r="O114" s="27">
        <f>O113+1.5</f>
        <v>21.1</v>
      </c>
      <c r="P114" s="27">
        <f t="shared" si="42"/>
        <v>40.87969552</v>
      </c>
    </row>
    <row r="115">
      <c r="E115" s="13" t="s">
        <v>200</v>
      </c>
      <c r="F115" s="14" t="s">
        <v>52</v>
      </c>
      <c r="G115" s="18">
        <f>C9</f>
        <v>155.3</v>
      </c>
      <c r="I115" s="72">
        <v>18.0</v>
      </c>
      <c r="J115" s="90">
        <f t="shared" si="39"/>
        <v>38.77171216</v>
      </c>
      <c r="K115" s="27">
        <f t="shared" si="40"/>
        <v>14.54202603</v>
      </c>
      <c r="L115" s="91">
        <f t="shared" si="41"/>
        <v>31.32329152</v>
      </c>
      <c r="O115" s="27">
        <f>O114+1</f>
        <v>22.1</v>
      </c>
      <c r="P115" s="27">
        <f t="shared" si="42"/>
        <v>40.8784464</v>
      </c>
    </row>
    <row r="116">
      <c r="E116" s="46" t="s">
        <v>325</v>
      </c>
      <c r="F116" s="28" t="s">
        <v>110</v>
      </c>
      <c r="G116" s="47">
        <f>LN((G113/G112))/(2*pi()*G114*G115)</f>
        <v>0.000365528528</v>
      </c>
      <c r="I116" s="72">
        <v>19.0</v>
      </c>
      <c r="J116" s="90">
        <f t="shared" si="39"/>
        <v>40.92569617</v>
      </c>
      <c r="K116" s="27">
        <f t="shared" si="40"/>
        <v>15.54202603</v>
      </c>
      <c r="L116" s="91">
        <f t="shared" si="41"/>
        <v>33.47727553</v>
      </c>
      <c r="O116" s="27">
        <f>O115+1.5</f>
        <v>23.6</v>
      </c>
      <c r="P116" s="27">
        <f t="shared" si="42"/>
        <v>37.98088318</v>
      </c>
    </row>
    <row r="117">
      <c r="E117" s="9" t="s">
        <v>326</v>
      </c>
      <c r="F117" s="2"/>
      <c r="G117" s="3"/>
      <c r="I117" s="72">
        <v>20.0</v>
      </c>
      <c r="J117" s="90">
        <f t="shared" si="39"/>
        <v>43.07968018</v>
      </c>
      <c r="K117" s="27">
        <f t="shared" si="40"/>
        <v>16.54202603</v>
      </c>
      <c r="L117" s="91">
        <f t="shared" si="41"/>
        <v>35.63125954</v>
      </c>
    </row>
    <row r="118">
      <c r="E118" s="19" t="s">
        <v>35</v>
      </c>
      <c r="F118" s="16" t="s">
        <v>22</v>
      </c>
      <c r="G118" s="45">
        <f t="shared" ref="G118:G119" si="47">C49/1000</f>
        <v>0.001</v>
      </c>
      <c r="I118" s="72">
        <v>21.0</v>
      </c>
      <c r="J118" s="90">
        <f t="shared" si="39"/>
        <v>45.23366419</v>
      </c>
      <c r="K118" s="27">
        <f t="shared" si="40"/>
        <v>17.54202603</v>
      </c>
      <c r="L118" s="91">
        <f t="shared" si="41"/>
        <v>37.78524355</v>
      </c>
    </row>
    <row r="119">
      <c r="E119" s="13" t="s">
        <v>39</v>
      </c>
      <c r="F119" s="14" t="s">
        <v>22</v>
      </c>
      <c r="G119" s="18">
        <f t="shared" si="47"/>
        <v>0.0035</v>
      </c>
      <c r="I119" s="72">
        <v>22.0</v>
      </c>
      <c r="J119" s="90">
        <f t="shared" si="39"/>
        <v>47.38764819</v>
      </c>
      <c r="K119" s="27">
        <f t="shared" si="40"/>
        <v>18.54202603</v>
      </c>
      <c r="L119" s="91">
        <f t="shared" si="41"/>
        <v>39.93922756</v>
      </c>
    </row>
    <row r="120">
      <c r="E120" s="13" t="s">
        <v>43</v>
      </c>
      <c r="F120" s="14" t="s">
        <v>22</v>
      </c>
      <c r="G120" s="18">
        <f>C56/1000</f>
        <v>0.001</v>
      </c>
      <c r="I120" s="72">
        <v>23.0</v>
      </c>
      <c r="J120" s="90">
        <f t="shared" si="39"/>
        <v>49.5416322</v>
      </c>
      <c r="K120" s="27">
        <f t="shared" si="40"/>
        <v>19.54202603</v>
      </c>
      <c r="L120" s="91">
        <f t="shared" si="41"/>
        <v>42.09321156</v>
      </c>
    </row>
    <row r="121">
      <c r="E121" s="13" t="s">
        <v>322</v>
      </c>
      <c r="F121" s="14" t="s">
        <v>52</v>
      </c>
      <c r="G121" s="18">
        <f>C11</f>
        <v>14.58</v>
      </c>
      <c r="I121" s="72">
        <v>24.0</v>
      </c>
      <c r="J121" s="90">
        <f t="shared" si="39"/>
        <v>51.69561621</v>
      </c>
      <c r="K121" s="27">
        <f t="shared" si="40"/>
        <v>20.54202603</v>
      </c>
      <c r="L121" s="91">
        <f t="shared" si="41"/>
        <v>44.24719557</v>
      </c>
    </row>
    <row r="122">
      <c r="E122" s="32" t="s">
        <v>327</v>
      </c>
      <c r="F122" s="33" t="s">
        <v>110</v>
      </c>
      <c r="G122" s="34">
        <f>LN((G119/G118))/(2*pi()*G120*G121)</f>
        <v>13.67513162</v>
      </c>
      <c r="I122" s="72">
        <v>25.0</v>
      </c>
      <c r="J122" s="90">
        <f t="shared" si="39"/>
        <v>53.84960022</v>
      </c>
      <c r="K122" s="27">
        <f t="shared" si="40"/>
        <v>21.54202603</v>
      </c>
      <c r="L122" s="91">
        <f t="shared" si="41"/>
        <v>46.40117958</v>
      </c>
    </row>
    <row r="123">
      <c r="E123" s="9" t="s">
        <v>328</v>
      </c>
      <c r="F123" s="2"/>
      <c r="G123" s="3"/>
      <c r="I123" s="72">
        <v>26.0</v>
      </c>
      <c r="J123" s="90">
        <f t="shared" si="39"/>
        <v>56.00358423</v>
      </c>
      <c r="K123" s="27">
        <f t="shared" si="40"/>
        <v>22.54202603</v>
      </c>
      <c r="L123" s="91">
        <f t="shared" si="41"/>
        <v>48.55516359</v>
      </c>
    </row>
    <row r="124">
      <c r="E124" s="19" t="s">
        <v>329</v>
      </c>
      <c r="F124" s="16" t="s">
        <v>19</v>
      </c>
      <c r="G124" s="61">
        <f>C15</f>
        <v>54.43080556</v>
      </c>
      <c r="I124" s="72">
        <v>27.0</v>
      </c>
      <c r="J124" s="90">
        <f t="shared" si="39"/>
        <v>58.15756824</v>
      </c>
      <c r="K124" s="27">
        <f t="shared" si="40"/>
        <v>23.54202603</v>
      </c>
      <c r="L124" s="91">
        <f t="shared" si="41"/>
        <v>50.7091476</v>
      </c>
    </row>
    <row r="125">
      <c r="E125" s="13" t="s">
        <v>78</v>
      </c>
      <c r="F125" s="14" t="s">
        <v>22</v>
      </c>
      <c r="G125" s="18">
        <f t="shared" ref="G125:G126" si="48">C53/1000</f>
        <v>0.004</v>
      </c>
      <c r="I125" s="72">
        <v>28.0</v>
      </c>
      <c r="J125" s="90">
        <f t="shared" si="39"/>
        <v>60.31155225</v>
      </c>
      <c r="K125" s="27">
        <f t="shared" si="40"/>
        <v>24.54202603</v>
      </c>
      <c r="L125" s="91">
        <f t="shared" si="41"/>
        <v>52.86313161</v>
      </c>
    </row>
    <row r="126">
      <c r="E126" s="13" t="s">
        <v>39</v>
      </c>
      <c r="F126" s="14" t="s">
        <v>22</v>
      </c>
      <c r="G126" s="18">
        <f t="shared" si="48"/>
        <v>0.011</v>
      </c>
      <c r="I126" s="72">
        <v>29.0</v>
      </c>
      <c r="J126" s="90">
        <f t="shared" si="39"/>
        <v>62.46553626</v>
      </c>
      <c r="K126" s="27">
        <f t="shared" si="40"/>
        <v>25.54202603</v>
      </c>
      <c r="L126" s="91">
        <f t="shared" si="41"/>
        <v>55.01711562</v>
      </c>
    </row>
    <row r="127">
      <c r="E127" s="13" t="s">
        <v>330</v>
      </c>
      <c r="F127" s="14" t="s">
        <v>28</v>
      </c>
      <c r="G127" s="18">
        <f>pi()*(G126^2-G125^2)</f>
        <v>0.0003298672286</v>
      </c>
      <c r="I127" s="72">
        <v>30.0</v>
      </c>
      <c r="J127" s="90">
        <f t="shared" si="39"/>
        <v>64.61952026</v>
      </c>
      <c r="K127" s="27">
        <f t="shared" si="40"/>
        <v>26.54202603</v>
      </c>
      <c r="L127" s="91">
        <f t="shared" si="41"/>
        <v>57.17109963</v>
      </c>
    </row>
    <row r="128">
      <c r="E128" s="46" t="s">
        <v>331</v>
      </c>
      <c r="F128" s="25" t="s">
        <v>110</v>
      </c>
      <c r="G128" s="59">
        <f>1/(G124*G127)</f>
        <v>55.69498181</v>
      </c>
      <c r="I128" s="72">
        <v>31.0</v>
      </c>
      <c r="J128" s="90">
        <f t="shared" si="39"/>
        <v>66.77350427</v>
      </c>
      <c r="K128" s="27">
        <f t="shared" si="40"/>
        <v>27.54202603</v>
      </c>
      <c r="L128" s="91">
        <f t="shared" si="41"/>
        <v>59.32508363</v>
      </c>
    </row>
    <row r="129">
      <c r="E129" s="69" t="s">
        <v>332</v>
      </c>
      <c r="F129" s="3"/>
      <c r="G129" s="70">
        <f>((1/G104)+(1/G110))^(-1)</f>
        <v>0.8478850099</v>
      </c>
      <c r="I129" s="72">
        <v>32.0</v>
      </c>
      <c r="J129" s="90">
        <f t="shared" si="39"/>
        <v>68.92748828</v>
      </c>
      <c r="K129" s="27">
        <f t="shared" si="40"/>
        <v>28.54202603</v>
      </c>
      <c r="L129" s="91">
        <f t="shared" si="41"/>
        <v>61.47906764</v>
      </c>
    </row>
    <row r="130">
      <c r="E130" s="69" t="s">
        <v>333</v>
      </c>
      <c r="F130" s="3"/>
      <c r="G130" s="70">
        <f>((1/G116)+(1/G122)+(1/G128))^(-1)</f>
        <v>0.0003655163591</v>
      </c>
      <c r="I130" s="72">
        <v>33.0</v>
      </c>
      <c r="J130" s="90">
        <f t="shared" si="39"/>
        <v>71.08147229</v>
      </c>
      <c r="K130" s="27">
        <f t="shared" si="40"/>
        <v>29.54202603</v>
      </c>
      <c r="L130" s="91">
        <f t="shared" si="41"/>
        <v>63.63305165</v>
      </c>
    </row>
    <row r="131">
      <c r="E131" s="69" t="s">
        <v>334</v>
      </c>
      <c r="F131" s="3"/>
      <c r="G131" s="70">
        <f>G104</f>
        <v>0.9348266406</v>
      </c>
      <c r="I131" s="72">
        <v>34.0</v>
      </c>
      <c r="J131" s="90">
        <f t="shared" si="39"/>
        <v>73.2354563</v>
      </c>
      <c r="K131" s="27">
        <f t="shared" si="40"/>
        <v>30.54202603</v>
      </c>
      <c r="L131" s="91">
        <f t="shared" si="41"/>
        <v>65.78703566</v>
      </c>
    </row>
    <row r="132">
      <c r="E132" s="69" t="s">
        <v>335</v>
      </c>
      <c r="F132" s="3"/>
      <c r="G132" s="70">
        <f>((1/G116)+(1/G128))^(-1)</f>
        <v>0.0003655261291</v>
      </c>
      <c r="I132" s="72">
        <v>35.0</v>
      </c>
      <c r="J132" s="90">
        <f t="shared" si="39"/>
        <v>75.38944031</v>
      </c>
      <c r="K132" s="27">
        <f t="shared" si="40"/>
        <v>31.54202603</v>
      </c>
      <c r="L132" s="91">
        <f t="shared" si="41"/>
        <v>67.94101967</v>
      </c>
    </row>
    <row r="133">
      <c r="I133" s="72">
        <v>36.0</v>
      </c>
      <c r="J133" s="90">
        <f t="shared" si="39"/>
        <v>77.54342432</v>
      </c>
      <c r="K133" s="27">
        <f t="shared" si="40"/>
        <v>32.54202603</v>
      </c>
      <c r="L133" s="91">
        <f t="shared" si="41"/>
        <v>70.09500368</v>
      </c>
    </row>
    <row r="134">
      <c r="I134" s="72">
        <v>37.0</v>
      </c>
      <c r="J134" s="90">
        <f t="shared" si="39"/>
        <v>79.69740833</v>
      </c>
      <c r="K134" s="27">
        <f t="shared" si="40"/>
        <v>33.54202603</v>
      </c>
      <c r="L134" s="91">
        <f t="shared" si="41"/>
        <v>72.24898769</v>
      </c>
    </row>
    <row r="135">
      <c r="I135" s="72">
        <v>38.0</v>
      </c>
      <c r="J135" s="90">
        <f t="shared" si="39"/>
        <v>81.85139234</v>
      </c>
      <c r="K135" s="27">
        <f t="shared" si="40"/>
        <v>34.54202603</v>
      </c>
      <c r="L135" s="91">
        <f t="shared" si="41"/>
        <v>74.4029717</v>
      </c>
      <c r="S135" s="92"/>
    </row>
    <row r="136">
      <c r="I136" s="72">
        <v>39.0</v>
      </c>
      <c r="J136" s="90">
        <f t="shared" si="39"/>
        <v>84.00537634</v>
      </c>
      <c r="K136" s="27">
        <f t="shared" si="40"/>
        <v>35.54202603</v>
      </c>
      <c r="L136" s="91">
        <f t="shared" si="41"/>
        <v>76.55695571</v>
      </c>
    </row>
    <row r="137">
      <c r="I137" s="72">
        <v>40.0</v>
      </c>
      <c r="J137" s="90">
        <f t="shared" si="39"/>
        <v>86.15936035</v>
      </c>
      <c r="K137" s="27">
        <f t="shared" si="40"/>
        <v>36.54202603</v>
      </c>
      <c r="L137" s="91">
        <f t="shared" si="41"/>
        <v>78.71093971</v>
      </c>
    </row>
    <row r="138">
      <c r="I138" s="72">
        <v>41.0</v>
      </c>
      <c r="J138" s="90">
        <f t="shared" si="39"/>
        <v>88.31334436</v>
      </c>
      <c r="K138" s="27">
        <f t="shared" si="40"/>
        <v>37.54202603</v>
      </c>
      <c r="L138" s="91">
        <f t="shared" si="41"/>
        <v>80.86492372</v>
      </c>
    </row>
    <row r="139">
      <c r="I139" s="72">
        <v>42.0</v>
      </c>
      <c r="J139" s="90">
        <f t="shared" si="39"/>
        <v>90.46732837</v>
      </c>
      <c r="K139" s="27">
        <f t="shared" si="40"/>
        <v>38.54202603</v>
      </c>
      <c r="L139" s="91">
        <f t="shared" si="41"/>
        <v>83.01890773</v>
      </c>
    </row>
    <row r="140">
      <c r="I140" s="72">
        <v>43.0</v>
      </c>
      <c r="J140" s="90">
        <f t="shared" si="39"/>
        <v>92.62131238</v>
      </c>
      <c r="K140" s="27">
        <f t="shared" si="40"/>
        <v>39.54202603</v>
      </c>
      <c r="L140" s="91">
        <f t="shared" si="41"/>
        <v>85.17289174</v>
      </c>
    </row>
    <row r="141">
      <c r="I141" s="72">
        <v>44.0</v>
      </c>
      <c r="J141" s="90">
        <f t="shared" si="39"/>
        <v>94.77529639</v>
      </c>
      <c r="K141" s="27">
        <f t="shared" si="40"/>
        <v>40.54202603</v>
      </c>
      <c r="L141" s="91">
        <f t="shared" si="41"/>
        <v>87.32687575</v>
      </c>
    </row>
    <row r="142">
      <c r="I142" s="72">
        <v>45.0</v>
      </c>
      <c r="J142" s="90">
        <f t="shared" si="39"/>
        <v>96.9292804</v>
      </c>
      <c r="K142" s="27">
        <f t="shared" si="40"/>
        <v>41.54202603</v>
      </c>
      <c r="L142" s="91">
        <f t="shared" si="41"/>
        <v>89.48085976</v>
      </c>
    </row>
    <row r="143">
      <c r="I143" s="72">
        <v>46.0</v>
      </c>
      <c r="J143" s="90">
        <f t="shared" si="39"/>
        <v>99.08326441</v>
      </c>
      <c r="K143" s="27">
        <f t="shared" si="40"/>
        <v>42.54202603</v>
      </c>
      <c r="L143" s="91">
        <f t="shared" si="41"/>
        <v>91.63484377</v>
      </c>
    </row>
    <row r="144">
      <c r="I144" s="72">
        <v>47.0</v>
      </c>
      <c r="J144" s="90">
        <f t="shared" si="39"/>
        <v>101.2372484</v>
      </c>
      <c r="K144" s="27">
        <f t="shared" si="40"/>
        <v>43.54202603</v>
      </c>
      <c r="L144" s="91">
        <f t="shared" si="41"/>
        <v>93.78882778</v>
      </c>
    </row>
    <row r="145">
      <c r="I145" s="72">
        <v>48.0</v>
      </c>
      <c r="J145" s="90">
        <f t="shared" si="39"/>
        <v>103.3912324</v>
      </c>
      <c r="K145" s="27">
        <f t="shared" si="40"/>
        <v>44.54202603</v>
      </c>
      <c r="L145" s="91">
        <f t="shared" si="41"/>
        <v>95.94281178</v>
      </c>
    </row>
    <row r="146">
      <c r="I146" s="72">
        <v>49.0</v>
      </c>
      <c r="J146" s="90">
        <f t="shared" si="39"/>
        <v>105.5452164</v>
      </c>
      <c r="K146" s="27">
        <f t="shared" si="40"/>
        <v>45.54202603</v>
      </c>
      <c r="L146" s="91">
        <f t="shared" si="41"/>
        <v>98.09679579</v>
      </c>
    </row>
    <row r="147">
      <c r="I147" s="72">
        <v>50.0</v>
      </c>
      <c r="J147" s="90">
        <f t="shared" si="39"/>
        <v>107.6992004</v>
      </c>
      <c r="K147" s="27">
        <f t="shared" si="40"/>
        <v>46.54202603</v>
      </c>
      <c r="L147" s="91">
        <f t="shared" si="41"/>
        <v>100.2507798</v>
      </c>
    </row>
    <row r="148">
      <c r="I148" s="72">
        <v>51.0</v>
      </c>
      <c r="J148" s="90">
        <f t="shared" si="39"/>
        <v>109.8531844</v>
      </c>
      <c r="K148" s="27">
        <f t="shared" si="40"/>
        <v>47.54202603</v>
      </c>
      <c r="L148" s="91">
        <f t="shared" si="41"/>
        <v>102.4047638</v>
      </c>
    </row>
    <row r="149">
      <c r="I149" s="72">
        <v>52.0</v>
      </c>
      <c r="J149" s="90">
        <f t="shared" si="39"/>
        <v>112.0071685</v>
      </c>
      <c r="K149" s="27">
        <f t="shared" si="40"/>
        <v>48.54202603</v>
      </c>
      <c r="L149" s="91">
        <f t="shared" si="41"/>
        <v>104.5587478</v>
      </c>
    </row>
    <row r="150">
      <c r="I150" s="72">
        <v>53.0</v>
      </c>
      <c r="J150" s="90">
        <f t="shared" si="39"/>
        <v>114.1611525</v>
      </c>
      <c r="K150" s="27">
        <f t="shared" si="40"/>
        <v>49.54202603</v>
      </c>
      <c r="L150" s="91">
        <f t="shared" si="41"/>
        <v>106.7127318</v>
      </c>
    </row>
    <row r="151">
      <c r="I151" s="72">
        <v>54.0</v>
      </c>
      <c r="J151" s="90">
        <f t="shared" si="39"/>
        <v>116.3151365</v>
      </c>
      <c r="K151" s="27">
        <f t="shared" si="40"/>
        <v>50.54202603</v>
      </c>
      <c r="L151" s="91">
        <f t="shared" si="41"/>
        <v>108.8667158</v>
      </c>
    </row>
    <row r="152">
      <c r="I152" s="72">
        <v>55.0</v>
      </c>
      <c r="J152" s="90">
        <f t="shared" si="39"/>
        <v>118.4691205</v>
      </c>
      <c r="K152" s="27">
        <f t="shared" si="40"/>
        <v>51.54202603</v>
      </c>
      <c r="L152" s="91">
        <f t="shared" si="41"/>
        <v>111.0206998</v>
      </c>
    </row>
    <row r="153">
      <c r="I153" s="72">
        <v>56.0</v>
      </c>
      <c r="J153" s="90">
        <f t="shared" si="39"/>
        <v>120.6231045</v>
      </c>
      <c r="K153" s="27">
        <f t="shared" si="40"/>
        <v>52.54202603</v>
      </c>
      <c r="L153" s="91">
        <f t="shared" si="41"/>
        <v>113.1746839</v>
      </c>
    </row>
    <row r="154">
      <c r="I154" s="72">
        <v>57.0</v>
      </c>
      <c r="J154" s="90">
        <f t="shared" si="39"/>
        <v>122.7770885</v>
      </c>
      <c r="K154" s="27">
        <f t="shared" si="40"/>
        <v>53.54202603</v>
      </c>
      <c r="L154" s="91">
        <f t="shared" si="41"/>
        <v>115.3286679</v>
      </c>
    </row>
    <row r="155">
      <c r="I155" s="72">
        <v>58.0</v>
      </c>
      <c r="J155" s="90">
        <f t="shared" si="39"/>
        <v>124.9310725</v>
      </c>
      <c r="K155" s="27">
        <f t="shared" si="40"/>
        <v>54.54202603</v>
      </c>
      <c r="L155" s="91">
        <f t="shared" si="41"/>
        <v>117.4826519</v>
      </c>
    </row>
    <row r="156">
      <c r="I156" s="72">
        <v>59.0</v>
      </c>
      <c r="J156" s="90">
        <f t="shared" si="39"/>
        <v>127.0850565</v>
      </c>
      <c r="K156" s="27">
        <f t="shared" si="40"/>
        <v>55.54202603</v>
      </c>
      <c r="L156" s="91">
        <f t="shared" si="41"/>
        <v>119.6366359</v>
      </c>
    </row>
    <row r="157">
      <c r="I157" s="72">
        <v>60.0</v>
      </c>
      <c r="J157" s="90">
        <f t="shared" si="39"/>
        <v>129.2390405</v>
      </c>
      <c r="K157" s="27">
        <f t="shared" si="40"/>
        <v>56.54202603</v>
      </c>
      <c r="L157" s="91">
        <f t="shared" si="41"/>
        <v>121.7906199</v>
      </c>
    </row>
    <row r="158">
      <c r="I158" s="72">
        <v>61.0</v>
      </c>
      <c r="J158" s="90">
        <f t="shared" si="39"/>
        <v>131.3930245</v>
      </c>
      <c r="K158" s="27">
        <f t="shared" si="40"/>
        <v>57.54202603</v>
      </c>
      <c r="L158" s="91">
        <f t="shared" si="41"/>
        <v>123.9446039</v>
      </c>
    </row>
    <row r="159">
      <c r="I159" s="72">
        <v>62.0</v>
      </c>
      <c r="J159" s="90">
        <f t="shared" si="39"/>
        <v>133.5470085</v>
      </c>
      <c r="K159" s="27">
        <f t="shared" si="40"/>
        <v>58.54202603</v>
      </c>
      <c r="L159" s="91">
        <f t="shared" si="41"/>
        <v>126.0985879</v>
      </c>
    </row>
    <row r="160">
      <c r="I160" s="72">
        <v>63.0</v>
      </c>
      <c r="J160" s="90">
        <f t="shared" si="39"/>
        <v>135.7009926</v>
      </c>
      <c r="K160" s="27">
        <f t="shared" si="40"/>
        <v>59.54202603</v>
      </c>
      <c r="L160" s="91">
        <f t="shared" si="41"/>
        <v>128.2525719</v>
      </c>
    </row>
    <row r="161">
      <c r="I161" s="72">
        <v>64.0</v>
      </c>
      <c r="J161" s="90">
        <f t="shared" si="39"/>
        <v>137.8549766</v>
      </c>
      <c r="K161" s="27">
        <f t="shared" si="40"/>
        <v>60.54202603</v>
      </c>
      <c r="L161" s="91">
        <f t="shared" si="41"/>
        <v>130.4065559</v>
      </c>
    </row>
    <row r="162">
      <c r="I162" s="72">
        <v>65.0</v>
      </c>
      <c r="J162" s="90">
        <f t="shared" si="39"/>
        <v>140.0089606</v>
      </c>
      <c r="K162" s="27">
        <f t="shared" si="40"/>
        <v>61.54202603</v>
      </c>
      <c r="L162" s="91">
        <f t="shared" si="41"/>
        <v>132.5605399</v>
      </c>
    </row>
    <row r="163">
      <c r="I163" s="72">
        <v>66.0</v>
      </c>
      <c r="J163" s="90">
        <f t="shared" si="39"/>
        <v>142.1629446</v>
      </c>
      <c r="K163" s="27">
        <f t="shared" si="40"/>
        <v>62.54202603</v>
      </c>
      <c r="L163" s="91">
        <f t="shared" si="41"/>
        <v>134.7145239</v>
      </c>
    </row>
    <row r="164">
      <c r="I164" s="72">
        <v>67.0</v>
      </c>
      <c r="J164" s="90">
        <f t="shared" si="39"/>
        <v>144.3169286</v>
      </c>
      <c r="K164" s="27">
        <f t="shared" si="40"/>
        <v>63.54202603</v>
      </c>
      <c r="L164" s="91">
        <f t="shared" si="41"/>
        <v>136.868508</v>
      </c>
    </row>
    <row r="165">
      <c r="I165" s="72">
        <v>68.0</v>
      </c>
      <c r="J165" s="90">
        <f t="shared" si="39"/>
        <v>146.4709126</v>
      </c>
      <c r="K165" s="27">
        <f t="shared" si="40"/>
        <v>64.54202603</v>
      </c>
      <c r="L165" s="91">
        <f t="shared" si="41"/>
        <v>139.022492</v>
      </c>
    </row>
    <row r="166">
      <c r="I166" s="72">
        <v>69.0</v>
      </c>
      <c r="J166" s="90">
        <f t="shared" si="39"/>
        <v>148.6248966</v>
      </c>
      <c r="K166" s="27">
        <f t="shared" si="40"/>
        <v>65.54202603</v>
      </c>
      <c r="L166" s="91">
        <f t="shared" si="41"/>
        <v>141.176476</v>
      </c>
    </row>
    <row r="167">
      <c r="I167" s="72">
        <v>70.0</v>
      </c>
      <c r="J167" s="90">
        <f t="shared" si="39"/>
        <v>150.7788806</v>
      </c>
      <c r="K167" s="27">
        <f t="shared" si="40"/>
        <v>66.54202603</v>
      </c>
      <c r="L167" s="91">
        <f t="shared" si="41"/>
        <v>143.33046</v>
      </c>
    </row>
    <row r="168">
      <c r="I168" s="72">
        <v>71.0</v>
      </c>
      <c r="J168" s="90">
        <f t="shared" si="39"/>
        <v>152.9328646</v>
      </c>
      <c r="K168" s="27">
        <f t="shared" si="40"/>
        <v>67.54202603</v>
      </c>
      <c r="L168" s="91">
        <f t="shared" si="41"/>
        <v>145.484444</v>
      </c>
    </row>
    <row r="169">
      <c r="I169" s="72">
        <v>72.0</v>
      </c>
      <c r="J169" s="90">
        <f t="shared" si="39"/>
        <v>155.0868486</v>
      </c>
      <c r="K169" s="27">
        <f t="shared" si="40"/>
        <v>68.54202603</v>
      </c>
      <c r="L169" s="91">
        <f t="shared" si="41"/>
        <v>147.638428</v>
      </c>
    </row>
    <row r="170">
      <c r="I170" s="72">
        <v>73.0</v>
      </c>
      <c r="J170" s="90">
        <f t="shared" si="39"/>
        <v>157.2408326</v>
      </c>
      <c r="K170" s="27">
        <f t="shared" si="40"/>
        <v>69.54202603</v>
      </c>
      <c r="L170" s="91">
        <f t="shared" si="41"/>
        <v>149.792412</v>
      </c>
    </row>
    <row r="171">
      <c r="I171" s="72">
        <v>74.0</v>
      </c>
      <c r="J171" s="90">
        <f t="shared" si="39"/>
        <v>159.3948167</v>
      </c>
      <c r="K171" s="27">
        <f t="shared" si="40"/>
        <v>70.54202603</v>
      </c>
      <c r="L171" s="91">
        <f t="shared" si="41"/>
        <v>151.946396</v>
      </c>
    </row>
    <row r="172">
      <c r="I172" s="72">
        <v>75.0</v>
      </c>
      <c r="J172" s="90">
        <f t="shared" si="39"/>
        <v>161.5488007</v>
      </c>
      <c r="K172" s="27">
        <f t="shared" si="40"/>
        <v>71.54202603</v>
      </c>
      <c r="L172" s="91">
        <f t="shared" si="41"/>
        <v>154.10038</v>
      </c>
    </row>
    <row r="173">
      <c r="I173" s="72">
        <v>76.0</v>
      </c>
      <c r="J173" s="90">
        <f t="shared" si="39"/>
        <v>163.7027847</v>
      </c>
      <c r="K173" s="27">
        <f t="shared" si="40"/>
        <v>72.54202603</v>
      </c>
      <c r="L173" s="91">
        <f t="shared" si="41"/>
        <v>156.254364</v>
      </c>
    </row>
    <row r="174">
      <c r="I174" s="72">
        <v>77.0</v>
      </c>
      <c r="J174" s="90">
        <f t="shared" si="39"/>
        <v>165.8567687</v>
      </c>
      <c r="K174" s="27">
        <f t="shared" si="40"/>
        <v>73.54202603</v>
      </c>
      <c r="L174" s="91">
        <f t="shared" si="41"/>
        <v>158.408348</v>
      </c>
    </row>
    <row r="175">
      <c r="I175" s="72">
        <v>78.0</v>
      </c>
      <c r="J175" s="90">
        <f t="shared" si="39"/>
        <v>168.0107527</v>
      </c>
      <c r="K175" s="27">
        <f t="shared" si="40"/>
        <v>74.54202603</v>
      </c>
      <c r="L175" s="91">
        <f t="shared" si="41"/>
        <v>160.562332</v>
      </c>
    </row>
    <row r="176">
      <c r="I176" s="72">
        <v>79.0</v>
      </c>
      <c r="J176" s="90">
        <f t="shared" si="39"/>
        <v>170.1647367</v>
      </c>
      <c r="K176" s="27">
        <f t="shared" si="40"/>
        <v>75.54202603</v>
      </c>
      <c r="L176" s="91">
        <f t="shared" si="41"/>
        <v>162.7163161</v>
      </c>
    </row>
    <row r="177">
      <c r="I177" s="72">
        <v>80.0</v>
      </c>
      <c r="J177" s="90">
        <f t="shared" si="39"/>
        <v>172.3187207</v>
      </c>
      <c r="K177" s="27">
        <f t="shared" si="40"/>
        <v>76.54202603</v>
      </c>
      <c r="L177" s="91">
        <f t="shared" si="41"/>
        <v>164.8703001</v>
      </c>
    </row>
    <row r="178">
      <c r="I178" s="72">
        <v>81.0</v>
      </c>
      <c r="J178" s="90">
        <f t="shared" si="39"/>
        <v>174.4727047</v>
      </c>
      <c r="K178" s="27">
        <f t="shared" si="40"/>
        <v>77.54202603</v>
      </c>
      <c r="L178" s="91">
        <f t="shared" si="41"/>
        <v>167.0242841</v>
      </c>
    </row>
    <row r="179">
      <c r="I179" s="72">
        <v>82.0</v>
      </c>
      <c r="J179" s="90">
        <f t="shared" si="39"/>
        <v>176.6266887</v>
      </c>
      <c r="K179" s="27">
        <f t="shared" si="40"/>
        <v>78.54202603</v>
      </c>
      <c r="L179" s="91">
        <f t="shared" si="41"/>
        <v>169.1782681</v>
      </c>
    </row>
    <row r="180">
      <c r="I180" s="72">
        <v>83.0</v>
      </c>
      <c r="J180" s="90">
        <f t="shared" si="39"/>
        <v>178.7806727</v>
      </c>
      <c r="K180" s="27">
        <f t="shared" si="40"/>
        <v>79.54202603</v>
      </c>
      <c r="L180" s="91">
        <f t="shared" si="41"/>
        <v>171.3322521</v>
      </c>
    </row>
    <row r="181">
      <c r="I181" s="72">
        <v>84.0</v>
      </c>
      <c r="J181" s="90">
        <f t="shared" si="39"/>
        <v>180.9346567</v>
      </c>
      <c r="K181" s="27">
        <f t="shared" si="40"/>
        <v>80.54202603</v>
      </c>
      <c r="L181" s="91">
        <f t="shared" si="41"/>
        <v>173.4862361</v>
      </c>
    </row>
    <row r="182">
      <c r="I182" s="72">
        <v>85.0</v>
      </c>
      <c r="J182" s="90">
        <f t="shared" si="39"/>
        <v>183.0886407</v>
      </c>
      <c r="K182" s="27">
        <f t="shared" si="40"/>
        <v>81.54202603</v>
      </c>
      <c r="L182" s="91">
        <f t="shared" si="41"/>
        <v>175.6402201</v>
      </c>
    </row>
    <row r="183">
      <c r="I183" s="72">
        <v>86.0</v>
      </c>
      <c r="J183" s="90">
        <f t="shared" si="39"/>
        <v>185.2426248</v>
      </c>
      <c r="K183" s="27">
        <f t="shared" si="40"/>
        <v>82.54202603</v>
      </c>
      <c r="L183" s="91">
        <f t="shared" si="41"/>
        <v>177.7942041</v>
      </c>
    </row>
    <row r="184">
      <c r="I184" s="72">
        <v>87.0</v>
      </c>
      <c r="J184" s="90">
        <f t="shared" si="39"/>
        <v>187.3966088</v>
      </c>
      <c r="K184" s="27">
        <f t="shared" si="40"/>
        <v>83.54202603</v>
      </c>
      <c r="L184" s="91">
        <f t="shared" si="41"/>
        <v>179.9481881</v>
      </c>
    </row>
    <row r="185">
      <c r="I185" s="72">
        <v>88.0</v>
      </c>
      <c r="J185" s="90">
        <f t="shared" si="39"/>
        <v>189.5505928</v>
      </c>
      <c r="K185" s="27">
        <f t="shared" si="40"/>
        <v>84.54202603</v>
      </c>
      <c r="L185" s="91">
        <f t="shared" si="41"/>
        <v>182.1021721</v>
      </c>
    </row>
    <row r="186">
      <c r="I186" s="72">
        <v>89.0</v>
      </c>
      <c r="J186" s="90">
        <f t="shared" si="39"/>
        <v>191.7045768</v>
      </c>
      <c r="K186" s="27">
        <f t="shared" si="40"/>
        <v>85.54202603</v>
      </c>
      <c r="L186" s="91">
        <f t="shared" si="41"/>
        <v>184.2561561</v>
      </c>
    </row>
    <row r="187">
      <c r="I187" s="72">
        <v>90.0</v>
      </c>
      <c r="J187" s="90">
        <f t="shared" si="39"/>
        <v>193.8585608</v>
      </c>
      <c r="K187" s="27">
        <f t="shared" si="40"/>
        <v>86.54202603</v>
      </c>
      <c r="L187" s="91">
        <f t="shared" si="41"/>
        <v>186.4101402</v>
      </c>
    </row>
    <row r="188">
      <c r="I188" s="72">
        <v>91.0</v>
      </c>
      <c r="J188" s="90">
        <f t="shared" si="39"/>
        <v>196.0125448</v>
      </c>
      <c r="K188" s="27">
        <f t="shared" si="40"/>
        <v>87.54202603</v>
      </c>
      <c r="L188" s="91">
        <f t="shared" si="41"/>
        <v>188.5641242</v>
      </c>
    </row>
    <row r="189">
      <c r="I189" s="72">
        <v>92.0</v>
      </c>
      <c r="J189" s="90">
        <f t="shared" si="39"/>
        <v>198.1665288</v>
      </c>
      <c r="K189" s="27">
        <f t="shared" si="40"/>
        <v>88.54202603</v>
      </c>
      <c r="L189" s="91">
        <f t="shared" si="41"/>
        <v>190.7181082</v>
      </c>
    </row>
    <row r="190">
      <c r="I190" s="72">
        <v>93.0</v>
      </c>
      <c r="J190" s="90">
        <f t="shared" si="39"/>
        <v>200.3205128</v>
      </c>
      <c r="K190" s="27">
        <f t="shared" si="40"/>
        <v>89.54202603</v>
      </c>
      <c r="L190" s="91">
        <f t="shared" si="41"/>
        <v>192.8720922</v>
      </c>
    </row>
    <row r="191">
      <c r="I191" s="72">
        <v>94.0</v>
      </c>
      <c r="J191" s="90">
        <f t="shared" si="39"/>
        <v>202.4744968</v>
      </c>
      <c r="K191" s="27">
        <f t="shared" si="40"/>
        <v>90.54202603</v>
      </c>
      <c r="L191" s="91">
        <f t="shared" si="41"/>
        <v>195.0260762</v>
      </c>
    </row>
    <row r="192">
      <c r="I192" s="72">
        <v>95.0</v>
      </c>
      <c r="J192" s="90">
        <f t="shared" si="39"/>
        <v>204.6284808</v>
      </c>
      <c r="K192" s="27">
        <f t="shared" si="40"/>
        <v>91.54202603</v>
      </c>
      <c r="L192" s="91">
        <f t="shared" si="41"/>
        <v>197.1800602</v>
      </c>
    </row>
    <row r="193">
      <c r="I193" s="72">
        <v>96.0</v>
      </c>
      <c r="J193" s="90">
        <f t="shared" si="39"/>
        <v>206.7824648</v>
      </c>
      <c r="K193" s="27">
        <f t="shared" si="40"/>
        <v>92.54202603</v>
      </c>
      <c r="L193" s="91">
        <f t="shared" si="41"/>
        <v>199.3340442</v>
      </c>
    </row>
    <row r="194">
      <c r="I194" s="72">
        <v>97.0</v>
      </c>
      <c r="J194" s="90">
        <f t="shared" si="39"/>
        <v>208.9364489</v>
      </c>
      <c r="K194" s="27">
        <f t="shared" si="40"/>
        <v>93.54202603</v>
      </c>
      <c r="L194" s="91">
        <f t="shared" si="41"/>
        <v>201.4880282</v>
      </c>
    </row>
    <row r="195">
      <c r="I195" s="72">
        <v>98.0</v>
      </c>
      <c r="J195" s="90">
        <f t="shared" si="39"/>
        <v>211.0904329</v>
      </c>
      <c r="K195" s="27">
        <f t="shared" si="40"/>
        <v>94.54202603</v>
      </c>
      <c r="L195" s="91">
        <f t="shared" si="41"/>
        <v>203.6420122</v>
      </c>
    </row>
    <row r="196">
      <c r="I196" s="72">
        <v>99.0</v>
      </c>
      <c r="J196" s="90">
        <f t="shared" si="39"/>
        <v>213.2444169</v>
      </c>
      <c r="K196" s="27">
        <f t="shared" si="40"/>
        <v>95.54202603</v>
      </c>
      <c r="L196" s="91">
        <f t="shared" si="41"/>
        <v>205.7959962</v>
      </c>
    </row>
    <row r="197">
      <c r="I197" s="72">
        <v>100.0</v>
      </c>
      <c r="J197" s="90">
        <f t="shared" si="39"/>
        <v>215.3984009</v>
      </c>
      <c r="K197" s="27">
        <f t="shared" si="40"/>
        <v>96.54202603</v>
      </c>
      <c r="L197" s="91">
        <f t="shared" si="41"/>
        <v>207.9499802</v>
      </c>
    </row>
    <row r="198">
      <c r="I198" s="72">
        <v>101.0</v>
      </c>
      <c r="J198" s="90">
        <f t="shared" si="39"/>
        <v>217.5523849</v>
      </c>
      <c r="K198" s="27">
        <f t="shared" si="40"/>
        <v>97.54202603</v>
      </c>
      <c r="L198" s="91">
        <f t="shared" si="41"/>
        <v>210.1039643</v>
      </c>
    </row>
    <row r="199">
      <c r="I199" s="72">
        <v>102.0</v>
      </c>
      <c r="J199" s="90">
        <f t="shared" si="39"/>
        <v>219.7063689</v>
      </c>
      <c r="K199" s="27">
        <f t="shared" si="40"/>
        <v>98.54202603</v>
      </c>
      <c r="L199" s="91">
        <f t="shared" si="41"/>
        <v>212.2579483</v>
      </c>
    </row>
    <row r="200">
      <c r="I200" s="72">
        <v>103.0</v>
      </c>
      <c r="J200" s="90">
        <f t="shared" si="39"/>
        <v>221.8603529</v>
      </c>
      <c r="K200" s="27">
        <f t="shared" si="40"/>
        <v>99.54202603</v>
      </c>
      <c r="L200" s="91">
        <f t="shared" si="41"/>
        <v>214.4119323</v>
      </c>
    </row>
    <row r="201">
      <c r="I201" s="72">
        <v>104.0</v>
      </c>
      <c r="J201" s="90">
        <f t="shared" si="39"/>
        <v>224.0143369</v>
      </c>
      <c r="K201" s="27">
        <f t="shared" si="40"/>
        <v>100.542026</v>
      </c>
      <c r="L201" s="91">
        <f t="shared" si="41"/>
        <v>216.5659163</v>
      </c>
    </row>
    <row r="202">
      <c r="I202" s="72">
        <v>105.0</v>
      </c>
      <c r="J202" s="90">
        <f t="shared" si="39"/>
        <v>226.1683209</v>
      </c>
      <c r="K202" s="27">
        <f t="shared" si="40"/>
        <v>101.542026</v>
      </c>
      <c r="L202" s="91">
        <f t="shared" si="41"/>
        <v>218.7199003</v>
      </c>
    </row>
    <row r="203">
      <c r="I203" s="72">
        <v>106.0</v>
      </c>
      <c r="J203" s="90">
        <f t="shared" si="39"/>
        <v>228.3223049</v>
      </c>
      <c r="K203" s="27">
        <f t="shared" si="40"/>
        <v>102.542026</v>
      </c>
      <c r="L203" s="91">
        <f t="shared" si="41"/>
        <v>220.8738843</v>
      </c>
    </row>
    <row r="204">
      <c r="I204" s="72">
        <v>107.0</v>
      </c>
      <c r="J204" s="90">
        <f t="shared" si="39"/>
        <v>230.4762889</v>
      </c>
      <c r="K204" s="27">
        <f t="shared" si="40"/>
        <v>103.542026</v>
      </c>
      <c r="L204" s="91">
        <f t="shared" si="41"/>
        <v>223.0278683</v>
      </c>
    </row>
    <row r="205">
      <c r="I205" s="72">
        <v>108.0</v>
      </c>
      <c r="J205" s="90">
        <f t="shared" si="39"/>
        <v>232.630273</v>
      </c>
      <c r="K205" s="27">
        <f t="shared" si="40"/>
        <v>104.542026</v>
      </c>
      <c r="L205" s="91">
        <f t="shared" si="41"/>
        <v>225.1818523</v>
      </c>
    </row>
    <row r="206">
      <c r="I206" s="72">
        <v>109.0</v>
      </c>
      <c r="J206" s="90">
        <f t="shared" si="39"/>
        <v>234.784257</v>
      </c>
      <c r="K206" s="27">
        <f t="shared" si="40"/>
        <v>105.542026</v>
      </c>
      <c r="L206" s="91">
        <f t="shared" si="41"/>
        <v>227.3358363</v>
      </c>
    </row>
    <row r="207">
      <c r="I207" s="72">
        <v>110.0</v>
      </c>
      <c r="J207" s="90">
        <f t="shared" si="39"/>
        <v>236.938241</v>
      </c>
      <c r="K207" s="27">
        <f t="shared" si="40"/>
        <v>106.542026</v>
      </c>
      <c r="L207" s="91">
        <f t="shared" si="41"/>
        <v>229.4898203</v>
      </c>
    </row>
    <row r="208">
      <c r="I208" s="72">
        <v>111.0</v>
      </c>
      <c r="J208" s="90">
        <f t="shared" si="39"/>
        <v>239.092225</v>
      </c>
      <c r="K208" s="27">
        <f t="shared" si="40"/>
        <v>107.542026</v>
      </c>
      <c r="L208" s="91">
        <f t="shared" si="41"/>
        <v>231.6438043</v>
      </c>
    </row>
    <row r="209">
      <c r="I209" s="72">
        <v>112.0</v>
      </c>
      <c r="J209" s="90">
        <f t="shared" si="39"/>
        <v>241.246209</v>
      </c>
      <c r="K209" s="27">
        <f t="shared" si="40"/>
        <v>108.542026</v>
      </c>
      <c r="L209" s="91">
        <f t="shared" si="41"/>
        <v>233.7977883</v>
      </c>
    </row>
    <row r="210">
      <c r="I210" s="72">
        <v>113.0</v>
      </c>
      <c r="J210" s="90">
        <f t="shared" si="39"/>
        <v>243.400193</v>
      </c>
      <c r="K210" s="27">
        <f t="shared" si="40"/>
        <v>109.542026</v>
      </c>
      <c r="L210" s="91">
        <f t="shared" si="41"/>
        <v>235.9517724</v>
      </c>
    </row>
    <row r="211">
      <c r="I211" s="72">
        <v>114.0</v>
      </c>
      <c r="J211" s="90">
        <f t="shared" si="39"/>
        <v>245.554177</v>
      </c>
      <c r="K211" s="27">
        <f t="shared" si="40"/>
        <v>110.542026</v>
      </c>
      <c r="L211" s="91">
        <f t="shared" si="41"/>
        <v>238.1057564</v>
      </c>
    </row>
    <row r="212">
      <c r="I212" s="72">
        <v>115.0</v>
      </c>
      <c r="J212" s="90">
        <f t="shared" si="39"/>
        <v>247.708161</v>
      </c>
      <c r="K212" s="27">
        <f t="shared" si="40"/>
        <v>111.542026</v>
      </c>
      <c r="L212" s="91">
        <f t="shared" si="41"/>
        <v>240.2597404</v>
      </c>
    </row>
    <row r="213">
      <c r="I213" s="72">
        <v>116.0</v>
      </c>
      <c r="J213" s="90">
        <f t="shared" si="39"/>
        <v>249.862145</v>
      </c>
      <c r="K213" s="27">
        <f t="shared" si="40"/>
        <v>112.542026</v>
      </c>
      <c r="L213" s="91">
        <f t="shared" si="41"/>
        <v>242.4137244</v>
      </c>
    </row>
    <row r="214">
      <c r="I214" s="72">
        <v>117.0</v>
      </c>
      <c r="J214" s="90">
        <f t="shared" si="39"/>
        <v>252.016129</v>
      </c>
      <c r="K214" s="27">
        <f t="shared" si="40"/>
        <v>113.542026</v>
      </c>
      <c r="L214" s="91">
        <f t="shared" si="41"/>
        <v>244.5677084</v>
      </c>
    </row>
    <row r="215">
      <c r="I215" s="72">
        <v>118.0</v>
      </c>
      <c r="J215" s="90">
        <f t="shared" si="39"/>
        <v>254.170113</v>
      </c>
      <c r="K215" s="27">
        <f t="shared" si="40"/>
        <v>114.542026</v>
      </c>
      <c r="L215" s="91">
        <f t="shared" si="41"/>
        <v>246.7216924</v>
      </c>
    </row>
    <row r="216">
      <c r="I216" s="72">
        <v>119.0</v>
      </c>
      <c r="J216" s="90">
        <f t="shared" si="39"/>
        <v>256.324097</v>
      </c>
      <c r="K216" s="27">
        <f t="shared" si="40"/>
        <v>115.542026</v>
      </c>
      <c r="L216" s="91">
        <f t="shared" si="41"/>
        <v>248.8756764</v>
      </c>
    </row>
    <row r="217">
      <c r="I217" s="72">
        <v>120.0</v>
      </c>
      <c r="J217" s="90">
        <f t="shared" si="39"/>
        <v>258.4780811</v>
      </c>
      <c r="K217" s="27">
        <f t="shared" si="40"/>
        <v>116.542026</v>
      </c>
      <c r="L217" s="91">
        <f t="shared" si="41"/>
        <v>251.0296604</v>
      </c>
    </row>
  </sheetData>
  <mergeCells count="74">
    <mergeCell ref="A48:C48"/>
    <mergeCell ref="E49:G49"/>
    <mergeCell ref="A51:C51"/>
    <mergeCell ref="I51:K51"/>
    <mergeCell ref="M53:O53"/>
    <mergeCell ref="I57:K57"/>
    <mergeCell ref="I59:K59"/>
    <mergeCell ref="M61:O61"/>
    <mergeCell ref="E58:F58"/>
    <mergeCell ref="E60:G60"/>
    <mergeCell ref="E62:G62"/>
    <mergeCell ref="I63:K63"/>
    <mergeCell ref="M66:O66"/>
    <mergeCell ref="I70:K70"/>
    <mergeCell ref="I73:K73"/>
    <mergeCell ref="E68:G68"/>
    <mergeCell ref="E77:F77"/>
    <mergeCell ref="E79:G79"/>
    <mergeCell ref="E81:G81"/>
    <mergeCell ref="I81:K81"/>
    <mergeCell ref="I84:K84"/>
    <mergeCell ref="I90:K90"/>
    <mergeCell ref="E123:G123"/>
    <mergeCell ref="E129:F129"/>
    <mergeCell ref="E130:F130"/>
    <mergeCell ref="E131:F131"/>
    <mergeCell ref="E132:F132"/>
    <mergeCell ref="E87:G87"/>
    <mergeCell ref="E95:F95"/>
    <mergeCell ref="E97:G97"/>
    <mergeCell ref="E99:G99"/>
    <mergeCell ref="E105:G105"/>
    <mergeCell ref="E111:G111"/>
    <mergeCell ref="E117:G117"/>
    <mergeCell ref="M5:O5"/>
    <mergeCell ref="Q5:S5"/>
    <mergeCell ref="A2:C2"/>
    <mergeCell ref="E2:G2"/>
    <mergeCell ref="I2:K2"/>
    <mergeCell ref="M2:O2"/>
    <mergeCell ref="Q2:S2"/>
    <mergeCell ref="I5:K5"/>
    <mergeCell ref="E6:G6"/>
    <mergeCell ref="A5:C5"/>
    <mergeCell ref="A8:C8"/>
    <mergeCell ref="E8:G8"/>
    <mergeCell ref="I9:K9"/>
    <mergeCell ref="M10:O10"/>
    <mergeCell ref="Q10:R10"/>
    <mergeCell ref="Q13:S13"/>
    <mergeCell ref="A12:C12"/>
    <mergeCell ref="E14:G14"/>
    <mergeCell ref="A16:C16"/>
    <mergeCell ref="M16:O16"/>
    <mergeCell ref="E20:F20"/>
    <mergeCell ref="M22:O22"/>
    <mergeCell ref="A23:C23"/>
    <mergeCell ref="U34:V34"/>
    <mergeCell ref="Z34:AA34"/>
    <mergeCell ref="AF34:AG34"/>
    <mergeCell ref="E22:G22"/>
    <mergeCell ref="E24:G24"/>
    <mergeCell ref="A26:C26"/>
    <mergeCell ref="A30:C30"/>
    <mergeCell ref="E30:G30"/>
    <mergeCell ref="A33:C33"/>
    <mergeCell ref="A34:C34"/>
    <mergeCell ref="E39:F39"/>
    <mergeCell ref="A40:C40"/>
    <mergeCell ref="E41:G41"/>
    <mergeCell ref="A43:C43"/>
    <mergeCell ref="E43:G43"/>
    <mergeCell ref="I43:K43"/>
    <mergeCell ref="I46:K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93" t="s">
        <v>336</v>
      </c>
      <c r="B3" s="93" t="s">
        <v>336</v>
      </c>
      <c r="C3" s="93" t="s">
        <v>337</v>
      </c>
      <c r="E3" s="72" t="s">
        <v>317</v>
      </c>
      <c r="F3" s="72" t="s">
        <v>226</v>
      </c>
    </row>
    <row r="4">
      <c r="A4" s="72">
        <v>0.0</v>
      </c>
      <c r="B4" s="90">
        <f t="shared" ref="B4:B52" si="1">A4*1000</f>
        <v>0</v>
      </c>
      <c r="C4" s="72">
        <v>229.12</v>
      </c>
      <c r="E4" s="72">
        <v>0.0</v>
      </c>
      <c r="F4" s="27">
        <v>229.84949721718414</v>
      </c>
    </row>
    <row r="5">
      <c r="A5" s="94">
        <v>4.6042E-4</v>
      </c>
      <c r="B5" s="90">
        <f t="shared" si="1"/>
        <v>0.46042</v>
      </c>
      <c r="C5" s="72">
        <v>228.9</v>
      </c>
      <c r="E5" s="72">
        <v>5.0</v>
      </c>
      <c r="F5" s="27">
        <v>229.5379409514536</v>
      </c>
    </row>
    <row r="6">
      <c r="A6" s="94">
        <v>9.2083E-4</v>
      </c>
      <c r="B6" s="90">
        <f t="shared" si="1"/>
        <v>0.92083</v>
      </c>
      <c r="C6" s="72">
        <v>228.57</v>
      </c>
      <c r="E6" s="27">
        <v>5.42</v>
      </c>
      <c r="F6" s="27">
        <v>195.28461685063223</v>
      </c>
    </row>
    <row r="7">
      <c r="A7" s="94">
        <v>0.0013812</v>
      </c>
      <c r="B7" s="90">
        <f t="shared" si="1"/>
        <v>1.3812</v>
      </c>
      <c r="C7" s="72">
        <v>228.12</v>
      </c>
      <c r="E7" s="27">
        <v>5.84</v>
      </c>
      <c r="F7" s="27">
        <v>161.03129274981086</v>
      </c>
    </row>
    <row r="8">
      <c r="A8" s="94">
        <v>0.0018417</v>
      </c>
      <c r="B8" s="90">
        <f t="shared" si="1"/>
        <v>1.8417</v>
      </c>
      <c r="C8" s="72">
        <v>227.49</v>
      </c>
      <c r="E8" s="27">
        <v>6.26</v>
      </c>
      <c r="F8" s="27">
        <v>126.77796864898949</v>
      </c>
    </row>
    <row r="9">
      <c r="A9" s="94">
        <v>0.0023021</v>
      </c>
      <c r="B9" s="90">
        <f t="shared" si="1"/>
        <v>2.3021</v>
      </c>
      <c r="C9" s="72">
        <v>226.66</v>
      </c>
      <c r="E9" s="27">
        <v>6.68</v>
      </c>
      <c r="F9" s="27">
        <v>92.52464454816811</v>
      </c>
    </row>
    <row r="10">
      <c r="A10" s="94">
        <v>0.0027625</v>
      </c>
      <c r="B10" s="90">
        <f t="shared" si="1"/>
        <v>2.7625</v>
      </c>
      <c r="C10" s="72">
        <v>225.83</v>
      </c>
      <c r="E10" s="27">
        <v>7.1</v>
      </c>
      <c r="F10" s="27">
        <v>58.271320447346795</v>
      </c>
    </row>
    <row r="11">
      <c r="A11" s="94">
        <v>0.0032229</v>
      </c>
      <c r="B11" s="90">
        <f t="shared" si="1"/>
        <v>3.2229</v>
      </c>
      <c r="C11" s="72">
        <v>224.1</v>
      </c>
      <c r="E11" s="27">
        <v>8.6</v>
      </c>
      <c r="F11" s="27">
        <v>55.37375722221884</v>
      </c>
    </row>
    <row r="12">
      <c r="A12" s="94">
        <v>0.0036833</v>
      </c>
      <c r="B12" s="90">
        <f t="shared" si="1"/>
        <v>3.6833</v>
      </c>
      <c r="C12" s="72">
        <v>221.29</v>
      </c>
      <c r="E12" s="27">
        <v>9.6</v>
      </c>
      <c r="F12" s="27">
        <v>55.37250810618548</v>
      </c>
    </row>
    <row r="13">
      <c r="A13" s="94">
        <v>0.0041437</v>
      </c>
      <c r="B13" s="90">
        <f t="shared" si="1"/>
        <v>4.1437</v>
      </c>
      <c r="C13" s="72">
        <v>215.5</v>
      </c>
      <c r="E13" s="27">
        <v>11.1</v>
      </c>
      <c r="F13" s="27">
        <v>52.474944881057525</v>
      </c>
    </row>
    <row r="14">
      <c r="A14" s="94">
        <v>0.0046042</v>
      </c>
      <c r="B14" s="90">
        <f t="shared" si="1"/>
        <v>4.6042</v>
      </c>
      <c r="C14" s="72">
        <v>205.77</v>
      </c>
      <c r="E14" s="27">
        <v>12.1</v>
      </c>
      <c r="F14" s="27">
        <v>52.47369576502416</v>
      </c>
    </row>
    <row r="15">
      <c r="A15" s="94">
        <v>0.0050646</v>
      </c>
      <c r="B15" s="90">
        <f t="shared" si="1"/>
        <v>5.0646</v>
      </c>
      <c r="C15" s="72">
        <v>190.05</v>
      </c>
      <c r="E15" s="27">
        <v>13.6</v>
      </c>
      <c r="F15" s="27">
        <v>49.57613253989621</v>
      </c>
    </row>
    <row r="16">
      <c r="A16" s="94">
        <v>0.005525</v>
      </c>
      <c r="B16" s="90">
        <f t="shared" si="1"/>
        <v>5.525</v>
      </c>
      <c r="C16" s="72">
        <v>167.5</v>
      </c>
      <c r="E16" s="27">
        <v>14.6</v>
      </c>
      <c r="F16" s="27">
        <v>49.57488342386284</v>
      </c>
    </row>
    <row r="17">
      <c r="A17" s="94">
        <v>0.0059854</v>
      </c>
      <c r="B17" s="90">
        <f t="shared" si="1"/>
        <v>5.9854</v>
      </c>
      <c r="C17" s="72">
        <v>142.78</v>
      </c>
      <c r="E17" s="27">
        <v>16.1</v>
      </c>
      <c r="F17" s="27">
        <v>46.67732019873489</v>
      </c>
    </row>
    <row r="18">
      <c r="A18" s="94">
        <v>0.0064458</v>
      </c>
      <c r="B18" s="90">
        <f t="shared" si="1"/>
        <v>6.4458</v>
      </c>
      <c r="C18" s="72">
        <v>116.77</v>
      </c>
      <c r="E18" s="27">
        <v>17.1</v>
      </c>
      <c r="F18" s="27">
        <v>46.676071082701526</v>
      </c>
    </row>
    <row r="19">
      <c r="A19" s="94">
        <v>0.0069062</v>
      </c>
      <c r="B19" s="90">
        <f t="shared" si="1"/>
        <v>6.9062</v>
      </c>
      <c r="C19" s="72">
        <v>93.083</v>
      </c>
      <c r="E19" s="27">
        <v>18.6</v>
      </c>
      <c r="F19" s="27">
        <v>43.77850785757357</v>
      </c>
    </row>
    <row r="20">
      <c r="A20" s="94">
        <v>0.0073667</v>
      </c>
      <c r="B20" s="90">
        <f t="shared" si="1"/>
        <v>7.3667</v>
      </c>
      <c r="C20" s="72">
        <v>72.826</v>
      </c>
      <c r="E20" s="27">
        <v>19.6</v>
      </c>
      <c r="F20" s="27">
        <v>43.77725874154021</v>
      </c>
    </row>
    <row r="21">
      <c r="A21" s="94">
        <v>0.0078271</v>
      </c>
      <c r="B21" s="90">
        <f t="shared" si="1"/>
        <v>7.8271</v>
      </c>
      <c r="C21" s="72">
        <v>64.134</v>
      </c>
      <c r="E21" s="27">
        <v>21.1</v>
      </c>
      <c r="F21" s="27">
        <v>40.879695516412255</v>
      </c>
    </row>
    <row r="22">
      <c r="A22" s="94">
        <v>0.0082875</v>
      </c>
      <c r="B22" s="90">
        <f t="shared" si="1"/>
        <v>8.2875</v>
      </c>
      <c r="C22" s="72">
        <v>57.67</v>
      </c>
      <c r="E22" s="27">
        <v>22.1</v>
      </c>
      <c r="F22" s="27">
        <v>40.87844640037889</v>
      </c>
    </row>
    <row r="23">
      <c r="A23" s="94">
        <v>0.0087479</v>
      </c>
      <c r="B23" s="90">
        <f t="shared" si="1"/>
        <v>8.7479</v>
      </c>
      <c r="C23" s="72">
        <v>53.027</v>
      </c>
      <c r="E23" s="27">
        <v>23.6</v>
      </c>
      <c r="F23" s="27">
        <v>37.98088317525094</v>
      </c>
    </row>
    <row r="24">
      <c r="A24" s="94">
        <v>0.0092083</v>
      </c>
      <c r="B24" s="90">
        <f t="shared" si="1"/>
        <v>9.2083</v>
      </c>
      <c r="C24" s="72">
        <v>50.594</v>
      </c>
    </row>
    <row r="25">
      <c r="A25" s="94">
        <v>0.0096688</v>
      </c>
      <c r="B25" s="90">
        <f t="shared" si="1"/>
        <v>9.6688</v>
      </c>
      <c r="C25" s="72">
        <v>49.517</v>
      </c>
    </row>
    <row r="26">
      <c r="A26" s="94">
        <v>0.010129</v>
      </c>
      <c r="B26" s="90">
        <f t="shared" si="1"/>
        <v>10.129</v>
      </c>
      <c r="C26" s="72">
        <v>48.296</v>
      </c>
    </row>
    <row r="27">
      <c r="A27" s="94">
        <v>0.01059</v>
      </c>
      <c r="B27" s="90">
        <f t="shared" si="1"/>
        <v>10.59</v>
      </c>
      <c r="C27" s="72">
        <v>47.246</v>
      </c>
    </row>
    <row r="28">
      <c r="A28" s="94">
        <v>0.01105</v>
      </c>
      <c r="B28" s="90">
        <f t="shared" si="1"/>
        <v>11.05</v>
      </c>
      <c r="C28" s="72">
        <v>46.384</v>
      </c>
    </row>
    <row r="29">
      <c r="A29" s="94">
        <v>0.01151</v>
      </c>
      <c r="B29" s="90">
        <f t="shared" si="1"/>
        <v>11.51</v>
      </c>
      <c r="C29" s="72">
        <v>45.732</v>
      </c>
    </row>
    <row r="30">
      <c r="A30" s="94">
        <v>0.011971</v>
      </c>
      <c r="B30" s="90">
        <f t="shared" si="1"/>
        <v>11.971</v>
      </c>
      <c r="C30" s="72">
        <v>45.294</v>
      </c>
    </row>
    <row r="31">
      <c r="A31" s="94">
        <v>0.012431</v>
      </c>
      <c r="B31" s="90">
        <f t="shared" si="1"/>
        <v>12.431</v>
      </c>
      <c r="C31" s="72">
        <v>44.901</v>
      </c>
    </row>
    <row r="32">
      <c r="A32" s="94">
        <v>0.012892</v>
      </c>
      <c r="B32" s="90">
        <f t="shared" si="1"/>
        <v>12.892</v>
      </c>
      <c r="C32" s="72">
        <v>44.525</v>
      </c>
    </row>
    <row r="33">
      <c r="A33" s="94">
        <v>0.013352</v>
      </c>
      <c r="B33" s="90">
        <f t="shared" si="1"/>
        <v>13.352</v>
      </c>
      <c r="C33" s="72">
        <v>44.18</v>
      </c>
    </row>
    <row r="34">
      <c r="A34" s="94">
        <v>0.013813</v>
      </c>
      <c r="B34" s="90">
        <f t="shared" si="1"/>
        <v>13.813</v>
      </c>
      <c r="C34" s="72">
        <v>43.872</v>
      </c>
    </row>
    <row r="35">
      <c r="A35" s="94">
        <v>0.014273</v>
      </c>
      <c r="B35" s="90">
        <f t="shared" si="1"/>
        <v>14.273</v>
      </c>
      <c r="C35" s="72">
        <v>43.602</v>
      </c>
    </row>
    <row r="36">
      <c r="A36" s="94">
        <v>0.014733</v>
      </c>
      <c r="B36" s="90">
        <f t="shared" si="1"/>
        <v>14.733</v>
      </c>
      <c r="C36" s="72">
        <v>43.366</v>
      </c>
    </row>
    <row r="37">
      <c r="A37" s="94">
        <v>0.015194</v>
      </c>
      <c r="B37" s="90">
        <f t="shared" si="1"/>
        <v>15.194</v>
      </c>
      <c r="C37" s="72">
        <v>43.166</v>
      </c>
    </row>
    <row r="38">
      <c r="A38" s="94">
        <v>0.015654</v>
      </c>
      <c r="B38" s="90">
        <f t="shared" si="1"/>
        <v>15.654</v>
      </c>
      <c r="C38" s="72">
        <v>43.002</v>
      </c>
    </row>
    <row r="39">
      <c r="A39" s="94">
        <v>0.016115</v>
      </c>
      <c r="B39" s="90">
        <f t="shared" si="1"/>
        <v>16.115</v>
      </c>
      <c r="C39" s="72">
        <v>42.875</v>
      </c>
    </row>
    <row r="40">
      <c r="A40" s="94">
        <v>0.016575</v>
      </c>
      <c r="B40" s="90">
        <f t="shared" si="1"/>
        <v>16.575</v>
      </c>
      <c r="C40" s="72">
        <v>42.875</v>
      </c>
    </row>
    <row r="41">
      <c r="A41" s="94">
        <v>0.017035</v>
      </c>
      <c r="B41" s="90">
        <f t="shared" si="1"/>
        <v>17.035</v>
      </c>
      <c r="C41" s="72">
        <v>42.875</v>
      </c>
    </row>
    <row r="42">
      <c r="A42" s="94">
        <v>0.017496</v>
      </c>
      <c r="B42" s="90">
        <f t="shared" si="1"/>
        <v>17.496</v>
      </c>
      <c r="C42" s="72">
        <v>42.875</v>
      </c>
    </row>
    <row r="43">
      <c r="A43" s="94">
        <v>0.017956</v>
      </c>
      <c r="B43" s="90">
        <f t="shared" si="1"/>
        <v>17.956</v>
      </c>
      <c r="C43" s="72">
        <v>42.875</v>
      </c>
    </row>
    <row r="44">
      <c r="A44" s="94">
        <v>0.018417</v>
      </c>
      <c r="B44" s="90">
        <f t="shared" si="1"/>
        <v>18.417</v>
      </c>
      <c r="C44" s="72">
        <v>42.875</v>
      </c>
    </row>
    <row r="45">
      <c r="A45" s="94">
        <v>0.018877</v>
      </c>
      <c r="B45" s="90">
        <f t="shared" si="1"/>
        <v>18.877</v>
      </c>
      <c r="C45" s="72">
        <v>42.875</v>
      </c>
    </row>
    <row r="46">
      <c r="A46" s="94">
        <v>0.019338</v>
      </c>
      <c r="B46" s="90">
        <f t="shared" si="1"/>
        <v>19.338</v>
      </c>
      <c r="C46" s="72">
        <v>42.875</v>
      </c>
    </row>
    <row r="47">
      <c r="A47" s="94">
        <v>0.019798</v>
      </c>
      <c r="B47" s="90">
        <f t="shared" si="1"/>
        <v>19.798</v>
      </c>
      <c r="C47" s="72">
        <v>42.875</v>
      </c>
    </row>
    <row r="48">
      <c r="A48" s="94">
        <v>0.020258</v>
      </c>
      <c r="B48" s="90">
        <f t="shared" si="1"/>
        <v>20.258</v>
      </c>
      <c r="C48" s="72">
        <v>42.875</v>
      </c>
    </row>
    <row r="49">
      <c r="A49" s="94">
        <v>0.020719</v>
      </c>
      <c r="B49" s="90">
        <f t="shared" si="1"/>
        <v>20.719</v>
      </c>
      <c r="C49" s="72">
        <v>42.875</v>
      </c>
    </row>
    <row r="50">
      <c r="A50" s="94">
        <v>0.021179</v>
      </c>
      <c r="B50" s="90">
        <f t="shared" si="1"/>
        <v>21.179</v>
      </c>
      <c r="C50" s="72">
        <v>42.875</v>
      </c>
    </row>
    <row r="51">
      <c r="A51" s="94">
        <v>0.02164</v>
      </c>
      <c r="B51" s="90">
        <f t="shared" si="1"/>
        <v>21.64</v>
      </c>
      <c r="C51" s="72">
        <v>42.875</v>
      </c>
    </row>
    <row r="52">
      <c r="A52" s="94">
        <v>0.0221</v>
      </c>
      <c r="B52" s="90">
        <f t="shared" si="1"/>
        <v>22.1</v>
      </c>
      <c r="C52" s="72">
        <v>42.875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3" max="3" width="10.88"/>
    <col customWidth="1" min="5" max="5" width="39.25"/>
    <col customWidth="1" min="7" max="7" width="10.88"/>
    <col customWidth="1" min="9" max="9" width="45.5"/>
  </cols>
  <sheetData>
    <row r="3">
      <c r="A3" s="95" t="s">
        <v>1</v>
      </c>
      <c r="B3" s="96"/>
      <c r="C3" s="97"/>
      <c r="E3" s="95" t="s">
        <v>338</v>
      </c>
      <c r="F3" s="96"/>
      <c r="G3" s="97"/>
      <c r="I3" s="95" t="s">
        <v>339</v>
      </c>
      <c r="J3" s="96"/>
      <c r="K3" s="97"/>
    </row>
    <row r="4">
      <c r="A4" s="4"/>
      <c r="B4" s="5"/>
      <c r="C4" s="5"/>
      <c r="E4" s="4"/>
      <c r="F4" s="5"/>
      <c r="G4" s="5"/>
      <c r="I4" s="4"/>
      <c r="J4" s="5"/>
      <c r="K4" s="5"/>
    </row>
    <row r="5">
      <c r="A5" s="6" t="s">
        <v>5</v>
      </c>
      <c r="B5" s="7" t="s">
        <v>6</v>
      </c>
      <c r="C5" s="8" t="s">
        <v>7</v>
      </c>
      <c r="E5" s="6" t="s">
        <v>5</v>
      </c>
      <c r="F5" s="7" t="s">
        <v>6</v>
      </c>
      <c r="G5" s="8" t="s">
        <v>7</v>
      </c>
      <c r="I5" s="6" t="s">
        <v>5</v>
      </c>
      <c r="J5" s="7" t="s">
        <v>6</v>
      </c>
      <c r="K5" s="8" t="s">
        <v>7</v>
      </c>
    </row>
    <row r="6">
      <c r="A6" s="98" t="s">
        <v>9</v>
      </c>
      <c r="B6" s="2"/>
      <c r="C6" s="3"/>
      <c r="E6" s="98" t="s">
        <v>10</v>
      </c>
      <c r="F6" s="2"/>
      <c r="G6" s="3"/>
      <c r="I6" s="98" t="s">
        <v>340</v>
      </c>
      <c r="J6" s="2"/>
      <c r="K6" s="3"/>
    </row>
    <row r="7">
      <c r="A7" s="16" t="s">
        <v>12</v>
      </c>
      <c r="B7" s="99" t="s">
        <v>13</v>
      </c>
      <c r="C7" s="100">
        <v>8.2</v>
      </c>
      <c r="E7" s="16" t="s">
        <v>16</v>
      </c>
      <c r="F7" s="17" t="s">
        <v>17</v>
      </c>
      <c r="G7" s="101">
        <v>9.81</v>
      </c>
      <c r="I7" s="19" t="s">
        <v>341</v>
      </c>
      <c r="J7" s="16" t="s">
        <v>22</v>
      </c>
      <c r="K7" s="45">
        <f>23/1000</f>
        <v>0.023</v>
      </c>
    </row>
    <row r="8">
      <c r="A8" s="14" t="s">
        <v>14</v>
      </c>
      <c r="B8" s="72" t="s">
        <v>15</v>
      </c>
      <c r="C8" s="102">
        <f>C7/3600</f>
        <v>0.002277777778</v>
      </c>
      <c r="E8" s="14" t="s">
        <v>32</v>
      </c>
      <c r="F8" s="14" t="s">
        <v>15</v>
      </c>
      <c r="G8" s="102">
        <f>1/AVERAGE(G9:G10)</f>
        <v>0.002506265664</v>
      </c>
      <c r="I8" s="13" t="s">
        <v>342</v>
      </c>
      <c r="J8" s="14" t="s">
        <v>22</v>
      </c>
      <c r="K8" s="18">
        <f>16/1000</f>
        <v>0.016</v>
      </c>
    </row>
    <row r="9">
      <c r="A9" s="14" t="s">
        <v>20</v>
      </c>
      <c r="B9" s="72" t="s">
        <v>22</v>
      </c>
      <c r="C9" s="63">
        <f>37/1000</f>
        <v>0.037</v>
      </c>
      <c r="E9" s="14" t="s">
        <v>23</v>
      </c>
      <c r="F9" s="14" t="s">
        <v>24</v>
      </c>
      <c r="G9" s="63">
        <f>230+273</f>
        <v>503</v>
      </c>
      <c r="I9" s="13" t="s">
        <v>47</v>
      </c>
      <c r="J9" s="14" t="s">
        <v>28</v>
      </c>
      <c r="K9" s="18">
        <f>K8*K7</f>
        <v>0.000368</v>
      </c>
    </row>
    <row r="10">
      <c r="A10" s="14" t="s">
        <v>27</v>
      </c>
      <c r="B10" s="72" t="s">
        <v>28</v>
      </c>
      <c r="C10" s="56">
        <f>pi()*(C9/2)^2 </f>
        <v>0.001075210086</v>
      </c>
      <c r="E10" s="14" t="s">
        <v>29</v>
      </c>
      <c r="F10" s="14" t="s">
        <v>24</v>
      </c>
      <c r="G10" s="103">
        <f>22+273</f>
        <v>295</v>
      </c>
      <c r="I10" s="13" t="s">
        <v>343</v>
      </c>
      <c r="J10" s="14" t="s">
        <v>52</v>
      </c>
      <c r="K10" s="37">
        <v>155.3</v>
      </c>
    </row>
    <row r="11">
      <c r="A11" s="104" t="s">
        <v>41</v>
      </c>
      <c r="B11" s="105" t="s">
        <v>42</v>
      </c>
      <c r="C11" s="106">
        <f>C8/C10</f>
        <v>2.118449044</v>
      </c>
      <c r="E11" s="14" t="s">
        <v>344</v>
      </c>
      <c r="F11" s="14" t="s">
        <v>22</v>
      </c>
      <c r="G11" s="107">
        <f>23/1000</f>
        <v>0.023</v>
      </c>
      <c r="I11" s="13" t="s">
        <v>95</v>
      </c>
      <c r="J11" s="14" t="s">
        <v>19</v>
      </c>
      <c r="K11" s="18">
        <f>G35</f>
        <v>8.876817557</v>
      </c>
    </row>
    <row r="12">
      <c r="A12" s="98" t="s">
        <v>46</v>
      </c>
      <c r="B12" s="2"/>
      <c r="C12" s="3"/>
      <c r="E12" s="14" t="s">
        <v>345</v>
      </c>
      <c r="F12" s="14" t="s">
        <v>22</v>
      </c>
      <c r="G12" s="107">
        <f>16/1000</f>
        <v>0.016</v>
      </c>
      <c r="I12" s="108" t="s">
        <v>346</v>
      </c>
      <c r="J12" s="14" t="s">
        <v>22</v>
      </c>
      <c r="K12" s="37">
        <f>7.5/1000</f>
        <v>0.0075</v>
      </c>
    </row>
    <row r="13">
      <c r="A13" s="13" t="s">
        <v>48</v>
      </c>
      <c r="B13" s="16" t="s">
        <v>49</v>
      </c>
      <c r="C13" s="109">
        <v>1.524E-5</v>
      </c>
      <c r="E13" s="13" t="s">
        <v>47</v>
      </c>
      <c r="F13" s="14" t="s">
        <v>28</v>
      </c>
      <c r="G13" s="18">
        <f>G12*G11</f>
        <v>0.000368</v>
      </c>
      <c r="I13" s="108" t="s">
        <v>347</v>
      </c>
      <c r="J13" s="14" t="s">
        <v>22</v>
      </c>
      <c r="K13" s="37">
        <f>4/1000</f>
        <v>0.004</v>
      </c>
    </row>
    <row r="14">
      <c r="A14" s="13" t="s">
        <v>64</v>
      </c>
      <c r="B14" s="14" t="s">
        <v>52</v>
      </c>
      <c r="C14" s="30">
        <v>0.02582</v>
      </c>
      <c r="E14" s="13" t="s">
        <v>50</v>
      </c>
      <c r="F14" s="14" t="s">
        <v>22</v>
      </c>
      <c r="G14" s="18">
        <f>2*(G12+G11)</f>
        <v>0.078</v>
      </c>
      <c r="I14" s="13" t="s">
        <v>348</v>
      </c>
      <c r="J14" s="14" t="s">
        <v>110</v>
      </c>
      <c r="K14" s="18">
        <f>K13/(K10*K9)</f>
        <v>0.06999076122</v>
      </c>
    </row>
    <row r="15">
      <c r="A15" s="13" t="s">
        <v>54</v>
      </c>
      <c r="B15" s="14" t="s">
        <v>55</v>
      </c>
      <c r="C15" s="110">
        <v>1.196</v>
      </c>
      <c r="E15" s="13" t="s">
        <v>53</v>
      </c>
      <c r="F15" s="14" t="s">
        <v>22</v>
      </c>
      <c r="G15" s="18">
        <f>G13/G14</f>
        <v>0.004717948718</v>
      </c>
      <c r="I15" s="13" t="s">
        <v>349</v>
      </c>
      <c r="J15" s="14" t="s">
        <v>110</v>
      </c>
      <c r="K15" s="18">
        <f>1/(K11*K9)</f>
        <v>306.1222433</v>
      </c>
    </row>
    <row r="16">
      <c r="A16" s="13" t="s">
        <v>67</v>
      </c>
      <c r="B16" s="14" t="s">
        <v>57</v>
      </c>
      <c r="C16" s="30">
        <f>1.006*1000</f>
        <v>1006</v>
      </c>
      <c r="E16" s="24" t="s">
        <v>48</v>
      </c>
      <c r="F16" s="25" t="s">
        <v>49</v>
      </c>
      <c r="G16" s="111">
        <f>C13</f>
        <v>0.00001524</v>
      </c>
      <c r="I16" s="13" t="s">
        <v>350</v>
      </c>
      <c r="J16" s="14" t="s">
        <v>110</v>
      </c>
      <c r="K16" s="18">
        <f>K12/(K10*K9)</f>
        <v>0.1312326773</v>
      </c>
    </row>
    <row r="17">
      <c r="A17" s="13" t="s">
        <v>61</v>
      </c>
      <c r="B17" s="14" t="s">
        <v>49</v>
      </c>
      <c r="C17" s="112">
        <f>(C14)/(C15*C16)</f>
        <v>0.00002145986955</v>
      </c>
      <c r="E17" s="113" t="s">
        <v>58</v>
      </c>
      <c r="F17" s="114" t="s">
        <v>59</v>
      </c>
      <c r="G17" s="115">
        <f>(G7*G8*(G9-G10)*(G15^3))/((G16^2))</f>
        <v>2312.326523</v>
      </c>
      <c r="I17" s="13" t="s">
        <v>351</v>
      </c>
      <c r="J17" s="14" t="s">
        <v>110</v>
      </c>
      <c r="K17" s="18">
        <f>K15</f>
        <v>306.1222433</v>
      </c>
    </row>
    <row r="18">
      <c r="A18" s="116" t="s">
        <v>62</v>
      </c>
      <c r="B18" s="117" t="s">
        <v>59</v>
      </c>
      <c r="C18" s="118">
        <f>C13/C17</f>
        <v>0.7101627514</v>
      </c>
      <c r="E18" s="98" t="s">
        <v>46</v>
      </c>
      <c r="F18" s="2"/>
      <c r="G18" s="3"/>
      <c r="I18" s="41" t="s">
        <v>352</v>
      </c>
      <c r="J18" s="43" t="s">
        <v>110</v>
      </c>
      <c r="K18" s="119">
        <f>K14+K15</f>
        <v>306.1922341</v>
      </c>
    </row>
    <row r="19">
      <c r="A19" s="120" t="s">
        <v>63</v>
      </c>
      <c r="B19" s="121"/>
      <c r="C19" s="122"/>
      <c r="E19" s="13" t="s">
        <v>48</v>
      </c>
      <c r="F19" s="16" t="s">
        <v>49</v>
      </c>
      <c r="G19" s="36">
        <f t="shared" ref="G19:G23" si="1">C13</f>
        <v>0.00001524</v>
      </c>
      <c r="I19" s="41" t="s">
        <v>353</v>
      </c>
      <c r="J19" s="43" t="s">
        <v>110</v>
      </c>
      <c r="K19" s="119">
        <f>K16+K17</f>
        <v>306.253476</v>
      </c>
    </row>
    <row r="20">
      <c r="A20" s="13" t="s">
        <v>54</v>
      </c>
      <c r="B20" s="16" t="s">
        <v>55</v>
      </c>
      <c r="C20" s="83">
        <f>C15</f>
        <v>1.196</v>
      </c>
      <c r="E20" s="13" t="s">
        <v>64</v>
      </c>
      <c r="F20" s="14" t="s">
        <v>52</v>
      </c>
      <c r="G20" s="37">
        <f t="shared" si="1"/>
        <v>0.02582</v>
      </c>
      <c r="I20" s="19" t="s">
        <v>354</v>
      </c>
      <c r="J20" s="16" t="s">
        <v>24</v>
      </c>
      <c r="K20" s="45">
        <f>230+273</f>
        <v>503</v>
      </c>
    </row>
    <row r="21">
      <c r="A21" s="13" t="s">
        <v>66</v>
      </c>
      <c r="B21" s="14" t="s">
        <v>42</v>
      </c>
      <c r="C21" s="83">
        <f>C11</f>
        <v>2.118449044</v>
      </c>
      <c r="E21" s="13" t="s">
        <v>54</v>
      </c>
      <c r="F21" s="14" t="s">
        <v>55</v>
      </c>
      <c r="G21" s="84">
        <f t="shared" si="1"/>
        <v>1.196</v>
      </c>
      <c r="I21" s="14" t="s">
        <v>29</v>
      </c>
      <c r="J21" s="14" t="s">
        <v>24</v>
      </c>
      <c r="K21" s="18">
        <f>22+273</f>
        <v>295</v>
      </c>
    </row>
    <row r="22">
      <c r="A22" s="13" t="s">
        <v>355</v>
      </c>
      <c r="B22" s="14" t="s">
        <v>22</v>
      </c>
      <c r="C22" s="83">
        <f>C9</f>
        <v>0.037</v>
      </c>
      <c r="E22" s="13" t="s">
        <v>67</v>
      </c>
      <c r="F22" s="14" t="s">
        <v>57</v>
      </c>
      <c r="G22" s="37">
        <f t="shared" si="1"/>
        <v>1006</v>
      </c>
      <c r="I22" s="13" t="s">
        <v>356</v>
      </c>
      <c r="J22" s="14" t="s">
        <v>113</v>
      </c>
      <c r="K22" s="18">
        <f>((K20-K21)/(K18))</f>
        <v>0.6793118075</v>
      </c>
    </row>
    <row r="23">
      <c r="A23" s="13" t="s">
        <v>70</v>
      </c>
      <c r="B23" s="14" t="s">
        <v>71</v>
      </c>
      <c r="C23" s="109">
        <v>1.822E-5</v>
      </c>
      <c r="E23" s="13" t="s">
        <v>61</v>
      </c>
      <c r="F23" s="14" t="s">
        <v>49</v>
      </c>
      <c r="G23" s="112">
        <f t="shared" si="1"/>
        <v>0.00002145986955</v>
      </c>
      <c r="I23" s="24" t="s">
        <v>357</v>
      </c>
      <c r="J23" s="25" t="s">
        <v>113</v>
      </c>
      <c r="K23" s="76">
        <f>((K20-K21)/(K19))</f>
        <v>0.6791759646</v>
      </c>
    </row>
    <row r="24">
      <c r="A24" s="116" t="s">
        <v>72</v>
      </c>
      <c r="B24" s="117" t="s">
        <v>59</v>
      </c>
      <c r="C24" s="123">
        <f>(C15*C21*C22)/(C23)</f>
        <v>5145.203462</v>
      </c>
      <c r="E24" s="116" t="s">
        <v>62</v>
      </c>
      <c r="F24" s="117" t="s">
        <v>59</v>
      </c>
      <c r="G24" s="118">
        <f>G19/G23</f>
        <v>0.7101627514</v>
      </c>
      <c r="I24" s="104" t="s">
        <v>358</v>
      </c>
      <c r="J24" s="105" t="s">
        <v>113</v>
      </c>
      <c r="K24" s="124">
        <f>SUM(K22:K23)</f>
        <v>1.358487772</v>
      </c>
    </row>
    <row r="25">
      <c r="A25" s="120" t="s">
        <v>75</v>
      </c>
      <c r="B25" s="121"/>
      <c r="C25" s="122"/>
      <c r="E25" s="120" t="s">
        <v>73</v>
      </c>
      <c r="F25" s="121"/>
      <c r="G25" s="122"/>
      <c r="I25" s="98" t="s">
        <v>359</v>
      </c>
      <c r="J25" s="2"/>
      <c r="K25" s="3"/>
    </row>
    <row r="26">
      <c r="A26" s="41" t="s">
        <v>77</v>
      </c>
      <c r="B26" s="2"/>
      <c r="C26" s="3"/>
      <c r="E26" s="116" t="s">
        <v>76</v>
      </c>
      <c r="F26" s="117" t="s">
        <v>59</v>
      </c>
      <c r="G26" s="123">
        <f>G17*G24</f>
        <v>1642.128165</v>
      </c>
      <c r="I26" s="19" t="s">
        <v>360</v>
      </c>
      <c r="J26" s="16" t="s">
        <v>24</v>
      </c>
      <c r="K26" s="45">
        <f>K20-K22*K14</f>
        <v>502.9524544</v>
      </c>
    </row>
    <row r="27">
      <c r="A27" s="13" t="s">
        <v>79</v>
      </c>
      <c r="B27" s="19" t="s">
        <v>80</v>
      </c>
      <c r="C27" s="12"/>
      <c r="E27" s="120" t="s">
        <v>75</v>
      </c>
      <c r="F27" s="121"/>
      <c r="G27" s="122"/>
      <c r="I27" s="24" t="s">
        <v>361</v>
      </c>
      <c r="J27" s="25" t="s">
        <v>24</v>
      </c>
      <c r="K27" s="71">
        <f>K20-K23*K16</f>
        <v>502.9108699</v>
      </c>
    </row>
    <row r="28">
      <c r="A28" s="13" t="s">
        <v>81</v>
      </c>
      <c r="B28" s="125" t="s">
        <v>82</v>
      </c>
      <c r="C28" s="42"/>
      <c r="E28" s="41" t="s">
        <v>77</v>
      </c>
      <c r="F28" s="2"/>
      <c r="G28" s="3"/>
      <c r="I28" s="126" t="s">
        <v>362</v>
      </c>
      <c r="J28" s="2"/>
      <c r="K28" s="3"/>
    </row>
    <row r="29">
      <c r="A29" s="116" t="s">
        <v>86</v>
      </c>
      <c r="B29" s="105" t="s">
        <v>59</v>
      </c>
      <c r="C29" s="127">
        <f>0.3+(0.62*(C24^(1/2))*(C18^(1/3))*((1+(0.4/C18)^(2/3))^(-1/4))*((1+(C24/282000)^(5/8))^(4/5)))</f>
        <v>37.40506987</v>
      </c>
      <c r="E29" s="13" t="s">
        <v>79</v>
      </c>
      <c r="F29" s="19" t="s">
        <v>84</v>
      </c>
      <c r="G29" s="12"/>
      <c r="I29" s="19" t="s">
        <v>363</v>
      </c>
      <c r="J29" s="16" t="s">
        <v>24</v>
      </c>
      <c r="K29" s="45">
        <f>K20</f>
        <v>503</v>
      </c>
    </row>
    <row r="30">
      <c r="A30" s="120" t="s">
        <v>91</v>
      </c>
      <c r="B30" s="121"/>
      <c r="C30" s="122"/>
      <c r="E30" s="13" t="s">
        <v>87</v>
      </c>
      <c r="F30" s="125" t="s">
        <v>89</v>
      </c>
      <c r="G30" s="42"/>
      <c r="I30" s="13" t="s">
        <v>364</v>
      </c>
      <c r="J30" s="14" t="s">
        <v>24</v>
      </c>
      <c r="K30" s="18">
        <f>K26</f>
        <v>502.9524544</v>
      </c>
    </row>
    <row r="31">
      <c r="A31" s="19" t="s">
        <v>355</v>
      </c>
      <c r="B31" s="16" t="s">
        <v>22</v>
      </c>
      <c r="C31" s="45">
        <f>C9</f>
        <v>0.037</v>
      </c>
      <c r="E31" s="116" t="s">
        <v>86</v>
      </c>
      <c r="F31" s="105" t="s">
        <v>59</v>
      </c>
      <c r="G31" s="127">
        <f>0.68+((0.67*(G26)^(1/4))/(1+(0.492/G24)^(9/16))^(4/9))</f>
        <v>3.953656154</v>
      </c>
      <c r="I31" s="13" t="s">
        <v>365</v>
      </c>
      <c r="J31" s="14" t="s">
        <v>22</v>
      </c>
      <c r="K31" s="18">
        <f>K13</f>
        <v>0.004</v>
      </c>
    </row>
    <row r="32">
      <c r="A32" s="13" t="s">
        <v>64</v>
      </c>
      <c r="B32" s="14" t="s">
        <v>52</v>
      </c>
      <c r="C32" s="37">
        <f>C14</f>
        <v>0.02582</v>
      </c>
      <c r="E32" s="120" t="s">
        <v>91</v>
      </c>
      <c r="F32" s="121"/>
      <c r="G32" s="122"/>
      <c r="I32" s="24" t="s">
        <v>366</v>
      </c>
      <c r="J32" s="25" t="s">
        <v>367</v>
      </c>
      <c r="K32" s="71">
        <f>(K29-K30)/K31</f>
        <v>11.88638763</v>
      </c>
    </row>
    <row r="33">
      <c r="A33" s="116" t="s">
        <v>95</v>
      </c>
      <c r="B33" s="117" t="s">
        <v>19</v>
      </c>
      <c r="C33" s="128">
        <f>C29*C32/C31</f>
        <v>26.10267309</v>
      </c>
      <c r="E33" s="19" t="s">
        <v>94</v>
      </c>
      <c r="F33" s="16" t="s">
        <v>22</v>
      </c>
      <c r="G33" s="45">
        <f>G11/2</f>
        <v>0.0115</v>
      </c>
      <c r="I33" s="126" t="s">
        <v>368</v>
      </c>
      <c r="J33" s="2"/>
      <c r="K33" s="3"/>
    </row>
    <row r="34">
      <c r="E34" s="13" t="s">
        <v>64</v>
      </c>
      <c r="F34" s="14" t="s">
        <v>52</v>
      </c>
      <c r="G34" s="37">
        <f>C32</f>
        <v>0.02582</v>
      </c>
      <c r="I34" s="19" t="s">
        <v>363</v>
      </c>
      <c r="J34" s="16" t="s">
        <v>24</v>
      </c>
      <c r="K34" s="45">
        <f>K20</f>
        <v>503</v>
      </c>
    </row>
    <row r="35">
      <c r="E35" s="116" t="s">
        <v>95</v>
      </c>
      <c r="F35" s="117" t="s">
        <v>19</v>
      </c>
      <c r="G35" s="128">
        <f>G31*G34/G33</f>
        <v>8.876817557</v>
      </c>
      <c r="I35" s="13" t="s">
        <v>369</v>
      </c>
      <c r="J35" s="14" t="s">
        <v>24</v>
      </c>
      <c r="K35" s="18">
        <f>K27</f>
        <v>502.9108699</v>
      </c>
    </row>
    <row r="36">
      <c r="I36" s="13" t="s">
        <v>365</v>
      </c>
      <c r="J36" s="14" t="s">
        <v>22</v>
      </c>
      <c r="K36" s="18">
        <f>K12</f>
        <v>0.0075</v>
      </c>
    </row>
    <row r="37">
      <c r="I37" s="24" t="s">
        <v>366</v>
      </c>
      <c r="J37" s="25" t="s">
        <v>367</v>
      </c>
      <c r="K37" s="71">
        <f>(K34-K35)/K36</f>
        <v>11.88401069</v>
      </c>
    </row>
    <row r="39">
      <c r="I39" s="72" t="s">
        <v>370</v>
      </c>
      <c r="J39" s="72" t="s">
        <v>371</v>
      </c>
    </row>
    <row r="40">
      <c r="I40" s="72">
        <v>0.0</v>
      </c>
      <c r="J40" s="27">
        <f>K29</f>
        <v>503</v>
      </c>
    </row>
    <row r="41">
      <c r="I41" s="72">
        <v>5.0E-4</v>
      </c>
      <c r="J41" s="27">
        <f t="shared" ref="J41:J48" si="2">$K$29-$K$32*I41</f>
        <v>502.9940568</v>
      </c>
    </row>
    <row r="42">
      <c r="I42" s="72">
        <v>0.001</v>
      </c>
      <c r="J42" s="27">
        <f t="shared" si="2"/>
        <v>502.9881136</v>
      </c>
    </row>
    <row r="43">
      <c r="I43" s="72">
        <v>0.0015</v>
      </c>
      <c r="J43" s="27">
        <f t="shared" si="2"/>
        <v>502.9821704</v>
      </c>
    </row>
    <row r="44">
      <c r="I44" s="72">
        <v>0.002</v>
      </c>
      <c r="J44" s="27">
        <f t="shared" si="2"/>
        <v>502.9762272</v>
      </c>
    </row>
    <row r="45">
      <c r="I45" s="72">
        <v>0.0025</v>
      </c>
      <c r="J45" s="27">
        <f t="shared" si="2"/>
        <v>502.970284</v>
      </c>
    </row>
    <row r="46">
      <c r="I46" s="72">
        <v>0.003</v>
      </c>
      <c r="J46" s="27">
        <f t="shared" si="2"/>
        <v>502.9643408</v>
      </c>
    </row>
    <row r="47">
      <c r="I47" s="72">
        <v>0.0035</v>
      </c>
      <c r="J47" s="27">
        <f t="shared" si="2"/>
        <v>502.9583976</v>
      </c>
    </row>
    <row r="48">
      <c r="I48" s="72">
        <v>0.004</v>
      </c>
      <c r="J48" s="27">
        <f t="shared" si="2"/>
        <v>502.9524544</v>
      </c>
    </row>
  </sheetData>
  <mergeCells count="23">
    <mergeCell ref="A3:C3"/>
    <mergeCell ref="E3:G3"/>
    <mergeCell ref="I3:K3"/>
    <mergeCell ref="A6:C6"/>
    <mergeCell ref="E6:G6"/>
    <mergeCell ref="I6:K6"/>
    <mergeCell ref="A12:C12"/>
    <mergeCell ref="E18:G18"/>
    <mergeCell ref="A19:C19"/>
    <mergeCell ref="A25:C25"/>
    <mergeCell ref="E25:G25"/>
    <mergeCell ref="I25:K25"/>
    <mergeCell ref="A26:C26"/>
    <mergeCell ref="E27:G27"/>
    <mergeCell ref="E32:G32"/>
    <mergeCell ref="I33:K33"/>
    <mergeCell ref="B27:C27"/>
    <mergeCell ref="B28:C28"/>
    <mergeCell ref="E28:G28"/>
    <mergeCell ref="I28:K28"/>
    <mergeCell ref="F29:G29"/>
    <mergeCell ref="A30:C30"/>
    <mergeCell ref="F30:G30"/>
  </mergeCells>
  <hyperlinks>
    <hyperlink r:id="rId2" ref="C7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5" max="5" width="48.5"/>
    <col customWidth="1" min="9" max="9" width="37.38"/>
    <col customWidth="1" min="13" max="13" width="38.88"/>
    <col customWidth="1" min="17" max="17" width="29.0"/>
  </cols>
  <sheetData>
    <row r="2">
      <c r="A2" s="1" t="s">
        <v>0</v>
      </c>
      <c r="B2" s="2"/>
      <c r="C2" s="3"/>
      <c r="E2" s="1" t="s">
        <v>99</v>
      </c>
      <c r="F2" s="2"/>
      <c r="G2" s="3"/>
      <c r="I2" s="1" t="s">
        <v>100</v>
      </c>
      <c r="J2" s="2"/>
      <c r="K2" s="3"/>
      <c r="M2" s="1" t="s">
        <v>101</v>
      </c>
      <c r="N2" s="2"/>
      <c r="O2" s="3"/>
      <c r="Q2" s="1" t="s">
        <v>102</v>
      </c>
      <c r="R2" s="2"/>
      <c r="S2" s="3"/>
    </row>
    <row r="4">
      <c r="A4" s="50" t="s">
        <v>5</v>
      </c>
      <c r="B4" s="7" t="s">
        <v>6</v>
      </c>
      <c r="C4" s="51" t="s">
        <v>7</v>
      </c>
      <c r="E4" s="50" t="s">
        <v>5</v>
      </c>
      <c r="F4" s="7" t="s">
        <v>6</v>
      </c>
      <c r="G4" s="51" t="s">
        <v>7</v>
      </c>
      <c r="I4" s="50" t="s">
        <v>5</v>
      </c>
      <c r="J4" s="7" t="s">
        <v>6</v>
      </c>
      <c r="K4" s="51" t="s">
        <v>7</v>
      </c>
      <c r="M4" s="50" t="s">
        <v>5</v>
      </c>
      <c r="N4" s="7" t="s">
        <v>6</v>
      </c>
      <c r="O4" s="51" t="s">
        <v>7</v>
      </c>
      <c r="Q4" s="50" t="s">
        <v>5</v>
      </c>
      <c r="R4" s="7" t="s">
        <v>6</v>
      </c>
      <c r="S4" s="51" t="s">
        <v>7</v>
      </c>
    </row>
    <row r="5">
      <c r="A5" s="52" t="s">
        <v>103</v>
      </c>
      <c r="C5" s="42"/>
      <c r="E5" s="52" t="s">
        <v>119</v>
      </c>
      <c r="G5" s="42"/>
      <c r="I5" s="9" t="s">
        <v>104</v>
      </c>
      <c r="J5" s="2"/>
      <c r="K5" s="3"/>
      <c r="M5" s="9" t="s">
        <v>105</v>
      </c>
      <c r="N5" s="2"/>
      <c r="O5" s="3"/>
      <c r="Q5" s="9" t="s">
        <v>106</v>
      </c>
      <c r="R5" s="2"/>
      <c r="S5" s="3"/>
    </row>
    <row r="6">
      <c r="A6" s="19" t="s">
        <v>107</v>
      </c>
      <c r="B6" s="16" t="s">
        <v>45</v>
      </c>
      <c r="C6" s="40">
        <v>230.0</v>
      </c>
      <c r="E6" s="19" t="s">
        <v>372</v>
      </c>
      <c r="F6" s="16" t="s">
        <v>19</v>
      </c>
      <c r="G6" s="61">
        <f>C13</f>
        <v>5.519500293</v>
      </c>
      <c r="I6" s="13" t="s">
        <v>373</v>
      </c>
      <c r="J6" s="14" t="s">
        <v>110</v>
      </c>
      <c r="K6" s="18">
        <f>G10</f>
        <v>5126.227122</v>
      </c>
      <c r="M6" s="13" t="s">
        <v>111</v>
      </c>
      <c r="N6" s="14" t="s">
        <v>24</v>
      </c>
      <c r="O6" s="18">
        <f>C7+273</f>
        <v>295</v>
      </c>
      <c r="Q6" s="19" t="s">
        <v>112</v>
      </c>
      <c r="R6" s="16" t="s">
        <v>113</v>
      </c>
      <c r="S6" s="54">
        <f>K51</f>
        <v>9.591378347</v>
      </c>
    </row>
    <row r="7">
      <c r="A7" s="24" t="s">
        <v>114</v>
      </c>
      <c r="B7" s="25" t="s">
        <v>45</v>
      </c>
      <c r="C7" s="31">
        <v>22.0</v>
      </c>
      <c r="E7" s="13" t="s">
        <v>35</v>
      </c>
      <c r="F7" s="14" t="s">
        <v>22</v>
      </c>
      <c r="G7" s="18">
        <f t="shared" ref="G7:G8" si="1">C26/1000</f>
        <v>0.001</v>
      </c>
      <c r="I7" s="13" t="s">
        <v>374</v>
      </c>
      <c r="J7" s="14" t="s">
        <v>110</v>
      </c>
      <c r="K7" s="18">
        <f>G16</f>
        <v>0.2964368406</v>
      </c>
      <c r="M7" s="13" t="s">
        <v>373</v>
      </c>
      <c r="N7" s="14" t="s">
        <v>110</v>
      </c>
      <c r="O7" s="18">
        <f>G10</f>
        <v>5126.227122</v>
      </c>
      <c r="Q7" s="13" t="s">
        <v>117</v>
      </c>
      <c r="R7" s="14" t="s">
        <v>113</v>
      </c>
      <c r="S7" s="129">
        <f>K24</f>
        <v>0.0405727503</v>
      </c>
    </row>
    <row r="8">
      <c r="A8" s="52" t="s">
        <v>118</v>
      </c>
      <c r="C8" s="42"/>
      <c r="E8" s="13" t="s">
        <v>39</v>
      </c>
      <c r="F8" s="14" t="s">
        <v>22</v>
      </c>
      <c r="G8" s="18">
        <f t="shared" si="1"/>
        <v>0.0035</v>
      </c>
      <c r="I8" s="13" t="s">
        <v>375</v>
      </c>
      <c r="J8" s="14" t="s">
        <v>110</v>
      </c>
      <c r="K8" s="18">
        <f>G23</f>
        <v>0.06999076122</v>
      </c>
      <c r="M8" s="13" t="s">
        <v>121</v>
      </c>
      <c r="N8" s="14" t="s">
        <v>113</v>
      </c>
      <c r="O8" s="18">
        <f>K24</f>
        <v>0.0405727503</v>
      </c>
      <c r="Q8" s="13" t="s">
        <v>122</v>
      </c>
      <c r="R8" s="14" t="s">
        <v>113</v>
      </c>
      <c r="S8" s="129">
        <f>K29</f>
        <v>3.859205597</v>
      </c>
    </row>
    <row r="9">
      <c r="A9" s="19" t="s">
        <v>123</v>
      </c>
      <c r="B9" s="16" t="s">
        <v>52</v>
      </c>
      <c r="C9" s="40">
        <v>155.3</v>
      </c>
      <c r="E9" s="13" t="s">
        <v>134</v>
      </c>
      <c r="F9" s="14" t="s">
        <v>28</v>
      </c>
      <c r="G9" s="18">
        <f>pi()*(G8^2-G7^2)</f>
        <v>0.00003534291735</v>
      </c>
      <c r="I9" s="46" t="s">
        <v>120</v>
      </c>
      <c r="J9" s="28" t="s">
        <v>110</v>
      </c>
      <c r="K9" s="59">
        <f>SUM(K6:K8)</f>
        <v>5126.59355</v>
      </c>
      <c r="M9" s="46" t="s">
        <v>126</v>
      </c>
      <c r="N9" s="28" t="s">
        <v>24</v>
      </c>
      <c r="O9" s="59">
        <f>O6+O7*O8</f>
        <v>502.985133</v>
      </c>
      <c r="Q9" s="13" t="s">
        <v>127</v>
      </c>
      <c r="R9" s="25" t="s">
        <v>113</v>
      </c>
      <c r="S9" s="62">
        <f>K42</f>
        <v>5.6916</v>
      </c>
    </row>
    <row r="10">
      <c r="A10" s="13" t="s">
        <v>128</v>
      </c>
      <c r="B10" s="14" t="s">
        <v>52</v>
      </c>
      <c r="C10" s="31">
        <v>112.1</v>
      </c>
      <c r="E10" s="46" t="s">
        <v>373</v>
      </c>
      <c r="F10" s="28" t="s">
        <v>110</v>
      </c>
      <c r="G10" s="59">
        <f>1/(G6*G9)</f>
        <v>5126.227122</v>
      </c>
      <c r="I10" s="52" t="s">
        <v>125</v>
      </c>
      <c r="K10" s="42"/>
      <c r="M10" s="9" t="s">
        <v>130</v>
      </c>
      <c r="N10" s="2"/>
      <c r="O10" s="3"/>
      <c r="Q10" s="41" t="s">
        <v>131</v>
      </c>
      <c r="R10" s="3"/>
      <c r="S10" s="130">
        <f>S6-SUM(S7:S9)</f>
        <v>0</v>
      </c>
    </row>
    <row r="11">
      <c r="A11" s="24" t="s">
        <v>132</v>
      </c>
      <c r="B11" s="25" t="s">
        <v>52</v>
      </c>
      <c r="C11" s="31">
        <v>14.58</v>
      </c>
      <c r="E11" s="9" t="s">
        <v>139</v>
      </c>
      <c r="F11" s="2"/>
      <c r="G11" s="3"/>
      <c r="I11" s="19" t="s">
        <v>376</v>
      </c>
      <c r="J11" s="16" t="s">
        <v>110</v>
      </c>
      <c r="K11" s="61">
        <f>G30</f>
        <v>0.1312326773</v>
      </c>
      <c r="M11" s="13" t="s">
        <v>126</v>
      </c>
      <c r="N11" s="14" t="s">
        <v>24</v>
      </c>
      <c r="O11" s="18">
        <f>O9</f>
        <v>502.985133</v>
      </c>
    </row>
    <row r="12">
      <c r="A12" s="9" t="s">
        <v>11</v>
      </c>
      <c r="B12" s="2"/>
      <c r="C12" s="3"/>
      <c r="E12" s="19" t="s">
        <v>35</v>
      </c>
      <c r="F12" s="16" t="s">
        <v>22</v>
      </c>
      <c r="G12" s="45">
        <f t="shared" ref="G12:G14" si="2">C26/1000</f>
        <v>0.001</v>
      </c>
      <c r="I12" s="13" t="s">
        <v>308</v>
      </c>
      <c r="J12" s="14" t="s">
        <v>110</v>
      </c>
      <c r="K12" s="18">
        <f>G36</f>
        <v>2.037867796</v>
      </c>
      <c r="M12" s="13" t="s">
        <v>374</v>
      </c>
      <c r="N12" s="14" t="s">
        <v>110</v>
      </c>
      <c r="O12" s="18">
        <f>G16</f>
        <v>0.2964368406</v>
      </c>
      <c r="Q12" s="50" t="s">
        <v>5</v>
      </c>
      <c r="R12" s="7" t="s">
        <v>6</v>
      </c>
      <c r="S12" s="51" t="s">
        <v>7</v>
      </c>
    </row>
    <row r="13">
      <c r="A13" s="13" t="s">
        <v>25</v>
      </c>
      <c r="B13" s="16" t="s">
        <v>19</v>
      </c>
      <c r="C13" s="40">
        <f>'Natural and Forced Convection C'!S6</f>
        <v>5.519500293</v>
      </c>
      <c r="E13" s="13" t="s">
        <v>39</v>
      </c>
      <c r="F13" s="14" t="s">
        <v>22</v>
      </c>
      <c r="G13" s="18">
        <f t="shared" si="2"/>
        <v>0.0035</v>
      </c>
      <c r="I13" s="13" t="s">
        <v>377</v>
      </c>
      <c r="J13" s="14" t="s">
        <v>110</v>
      </c>
      <c r="K13" s="18">
        <f>G42</f>
        <v>0.04920140214</v>
      </c>
      <c r="M13" s="13" t="s">
        <v>121</v>
      </c>
      <c r="N13" s="14" t="s">
        <v>113</v>
      </c>
      <c r="O13" s="18">
        <f>K24</f>
        <v>0.0405727503</v>
      </c>
      <c r="Q13" s="9" t="s">
        <v>138</v>
      </c>
      <c r="R13" s="2"/>
      <c r="S13" s="3"/>
    </row>
    <row r="14">
      <c r="A14" s="13" t="s">
        <v>30</v>
      </c>
      <c r="B14" s="25" t="s">
        <v>19</v>
      </c>
      <c r="C14" s="30">
        <f>'Natural and Forced Convection C'!S7</f>
        <v>54.43080556</v>
      </c>
      <c r="E14" s="13" t="s">
        <v>43</v>
      </c>
      <c r="F14" s="14" t="s">
        <v>22</v>
      </c>
      <c r="G14" s="18">
        <f t="shared" si="2"/>
        <v>0.006</v>
      </c>
      <c r="I14" s="13" t="s">
        <v>378</v>
      </c>
      <c r="J14" s="14" t="s">
        <v>110</v>
      </c>
      <c r="K14" s="18">
        <f>G48</f>
        <v>51.67880073</v>
      </c>
      <c r="M14" s="46" t="s">
        <v>141</v>
      </c>
      <c r="N14" s="28" t="s">
        <v>24</v>
      </c>
      <c r="O14" s="59">
        <f>O11+O12*O13</f>
        <v>502.9971603</v>
      </c>
      <c r="Q14" s="19" t="s">
        <v>142</v>
      </c>
      <c r="R14" s="16" t="s">
        <v>45</v>
      </c>
      <c r="S14" s="54">
        <f>C7</f>
        <v>22</v>
      </c>
    </row>
    <row r="15">
      <c r="A15" s="9" t="s">
        <v>144</v>
      </c>
      <c r="B15" s="2"/>
      <c r="C15" s="3"/>
      <c r="E15" s="13" t="s">
        <v>152</v>
      </c>
      <c r="F15" s="14" t="s">
        <v>52</v>
      </c>
      <c r="G15" s="18">
        <f>C10</f>
        <v>112.1</v>
      </c>
      <c r="I15" s="46" t="s">
        <v>247</v>
      </c>
      <c r="J15" s="28" t="s">
        <v>110</v>
      </c>
      <c r="K15" s="59">
        <f>SUM(K11:K14)</f>
        <v>53.8971026</v>
      </c>
      <c r="Q15" s="13" t="s">
        <v>126</v>
      </c>
      <c r="R15" s="14" t="s">
        <v>45</v>
      </c>
      <c r="S15" s="129">
        <f>O9-273</f>
        <v>229.985133</v>
      </c>
    </row>
    <row r="16">
      <c r="A16" s="19" t="s">
        <v>147</v>
      </c>
      <c r="B16" s="16" t="s">
        <v>55</v>
      </c>
      <c r="C16" s="40">
        <v>1240.0</v>
      </c>
      <c r="E16" s="32" t="s">
        <v>374</v>
      </c>
      <c r="F16" s="33" t="s">
        <v>110</v>
      </c>
      <c r="G16" s="34">
        <f>LN((G13/G12))/(2*pi()*G14*G15)</f>
        <v>0.2964368406</v>
      </c>
      <c r="M16" s="9" t="s">
        <v>379</v>
      </c>
      <c r="N16" s="2"/>
      <c r="O16" s="3"/>
      <c r="Q16" s="13" t="s">
        <v>141</v>
      </c>
      <c r="R16" s="14" t="s">
        <v>45</v>
      </c>
      <c r="S16" s="129">
        <f>O14-273</f>
        <v>229.9971603</v>
      </c>
    </row>
    <row r="17">
      <c r="A17" s="13" t="s">
        <v>150</v>
      </c>
      <c r="B17" s="14" t="s">
        <v>151</v>
      </c>
      <c r="C17" s="30">
        <v>15.0</v>
      </c>
      <c r="E17" s="9" t="s">
        <v>380</v>
      </c>
      <c r="F17" s="2"/>
      <c r="G17" s="3"/>
      <c r="I17" s="1" t="s">
        <v>251</v>
      </c>
      <c r="J17" s="2"/>
      <c r="K17" s="3"/>
      <c r="M17" s="13" t="s">
        <v>111</v>
      </c>
      <c r="N17" s="14" t="s">
        <v>24</v>
      </c>
      <c r="O17" s="18">
        <f>C7+273</f>
        <v>295</v>
      </c>
      <c r="Q17" s="13" t="s">
        <v>149</v>
      </c>
      <c r="R17" s="14" t="s">
        <v>45</v>
      </c>
      <c r="S17" s="129">
        <f>C6</f>
        <v>230</v>
      </c>
    </row>
    <row r="18">
      <c r="A18" s="13" t="s">
        <v>156</v>
      </c>
      <c r="B18" s="14" t="s">
        <v>157</v>
      </c>
      <c r="C18" s="30">
        <v>1800.0</v>
      </c>
      <c r="E18" s="13" t="s">
        <v>200</v>
      </c>
      <c r="F18" s="14" t="s">
        <v>52</v>
      </c>
      <c r="G18" s="45">
        <f>C9</f>
        <v>155.3</v>
      </c>
      <c r="M18" s="13" t="s">
        <v>378</v>
      </c>
      <c r="N18" s="14" t="s">
        <v>110</v>
      </c>
      <c r="O18" s="18">
        <f>G48</f>
        <v>51.67880073</v>
      </c>
      <c r="Q18" s="13" t="s">
        <v>160</v>
      </c>
      <c r="R18" s="14" t="s">
        <v>45</v>
      </c>
      <c r="S18" s="129">
        <f>O30-273</f>
        <v>229.4935461</v>
      </c>
    </row>
    <row r="19">
      <c r="A19" s="13" t="s">
        <v>161</v>
      </c>
      <c r="B19" s="14" t="s">
        <v>45</v>
      </c>
      <c r="C19" s="30">
        <v>60.0</v>
      </c>
      <c r="E19" s="13" t="s">
        <v>43</v>
      </c>
      <c r="F19" s="14" t="s">
        <v>22</v>
      </c>
      <c r="G19" s="18">
        <f>C34/1000</f>
        <v>0.004</v>
      </c>
      <c r="I19" s="50" t="s">
        <v>5</v>
      </c>
      <c r="J19" s="7" t="s">
        <v>6</v>
      </c>
      <c r="K19" s="51" t="s">
        <v>7</v>
      </c>
      <c r="M19" s="13" t="s">
        <v>159</v>
      </c>
      <c r="N19" s="14" t="s">
        <v>113</v>
      </c>
      <c r="O19" s="18">
        <f>K29</f>
        <v>3.859205597</v>
      </c>
      <c r="Q19" s="13" t="s">
        <v>299</v>
      </c>
      <c r="R19" s="14" t="s">
        <v>45</v>
      </c>
      <c r="S19" s="129">
        <f>O25-273</f>
        <v>221.6289953</v>
      </c>
    </row>
    <row r="20">
      <c r="A20" s="24" t="s">
        <v>165</v>
      </c>
      <c r="B20" s="25" t="s">
        <v>45</v>
      </c>
      <c r="C20" s="31">
        <v>230.0</v>
      </c>
      <c r="E20" s="13" t="s">
        <v>65</v>
      </c>
      <c r="F20" s="14" t="s">
        <v>22</v>
      </c>
      <c r="G20" s="18">
        <f t="shared" ref="G20:G21" si="3">C31/1000</f>
        <v>0.023</v>
      </c>
      <c r="I20" s="9" t="s">
        <v>258</v>
      </c>
      <c r="J20" s="2"/>
      <c r="K20" s="3"/>
      <c r="M20" s="46" t="s">
        <v>381</v>
      </c>
      <c r="N20" s="28" t="s">
        <v>24</v>
      </c>
      <c r="O20" s="59">
        <f>O17+O18*O19</f>
        <v>494.439117</v>
      </c>
      <c r="Q20" s="13" t="s">
        <v>381</v>
      </c>
      <c r="R20" s="14" t="s">
        <v>45</v>
      </c>
      <c r="S20" s="129">
        <f>O20-273</f>
        <v>221.439117</v>
      </c>
    </row>
    <row r="21">
      <c r="E21" s="13" t="s">
        <v>68</v>
      </c>
      <c r="F21" s="14" t="s">
        <v>22</v>
      </c>
      <c r="G21" s="18">
        <f t="shared" si="3"/>
        <v>0.016</v>
      </c>
      <c r="I21" s="13" t="s">
        <v>261</v>
      </c>
      <c r="J21" s="14" t="s">
        <v>24</v>
      </c>
      <c r="K21" s="18">
        <f t="shared" ref="K21:K22" si="4">C6+273</f>
        <v>503</v>
      </c>
      <c r="M21" s="9" t="s">
        <v>382</v>
      </c>
      <c r="N21" s="2"/>
      <c r="O21" s="3"/>
      <c r="Q21" s="24" t="s">
        <v>142</v>
      </c>
      <c r="R21" s="25" t="s">
        <v>45</v>
      </c>
      <c r="S21" s="131">
        <f>C7</f>
        <v>22</v>
      </c>
    </row>
    <row r="22">
      <c r="A22" s="1" t="s">
        <v>171</v>
      </c>
      <c r="B22" s="2"/>
      <c r="C22" s="3"/>
      <c r="E22" s="13" t="s">
        <v>383</v>
      </c>
      <c r="F22" s="14" t="s">
        <v>28</v>
      </c>
      <c r="G22" s="18">
        <f>G21*G20</f>
        <v>0.000368</v>
      </c>
      <c r="I22" s="13" t="s">
        <v>111</v>
      </c>
      <c r="J22" s="14" t="s">
        <v>24</v>
      </c>
      <c r="K22" s="18">
        <f t="shared" si="4"/>
        <v>295</v>
      </c>
      <c r="M22" s="13" t="s">
        <v>381</v>
      </c>
      <c r="N22" s="14" t="s">
        <v>24</v>
      </c>
      <c r="O22" s="18">
        <f>O20</f>
        <v>494.439117</v>
      </c>
    </row>
    <row r="23">
      <c r="E23" s="32" t="s">
        <v>375</v>
      </c>
      <c r="F23" s="33" t="s">
        <v>110</v>
      </c>
      <c r="G23" s="34">
        <f>G19/(G18*G22)</f>
        <v>0.06999076122</v>
      </c>
      <c r="I23" s="13" t="s">
        <v>120</v>
      </c>
      <c r="J23" s="14" t="s">
        <v>110</v>
      </c>
      <c r="K23" s="18">
        <f>K9</f>
        <v>5126.59355</v>
      </c>
      <c r="M23" s="13" t="s">
        <v>377</v>
      </c>
      <c r="N23" s="14" t="s">
        <v>110</v>
      </c>
      <c r="O23" s="18">
        <f>G42</f>
        <v>0.04920140214</v>
      </c>
    </row>
    <row r="24">
      <c r="A24" s="50" t="s">
        <v>5</v>
      </c>
      <c r="B24" s="7" t="s">
        <v>6</v>
      </c>
      <c r="C24" s="51" t="s">
        <v>7</v>
      </c>
      <c r="E24" s="9" t="s">
        <v>384</v>
      </c>
      <c r="F24" s="2"/>
      <c r="G24" s="3"/>
      <c r="I24" s="46" t="s">
        <v>121</v>
      </c>
      <c r="J24" s="28" t="s">
        <v>113</v>
      </c>
      <c r="K24" s="59">
        <f>(K21-K22)/K23</f>
        <v>0.0405727503</v>
      </c>
      <c r="M24" s="13" t="s">
        <v>159</v>
      </c>
      <c r="N24" s="14" t="s">
        <v>113</v>
      </c>
      <c r="O24" s="18">
        <f>K29</f>
        <v>3.859205597</v>
      </c>
    </row>
    <row r="25">
      <c r="A25" s="9" t="s">
        <v>385</v>
      </c>
      <c r="B25" s="2"/>
      <c r="C25" s="3"/>
      <c r="E25" s="13" t="s">
        <v>200</v>
      </c>
      <c r="F25" s="14" t="s">
        <v>52</v>
      </c>
      <c r="G25" s="45">
        <f>C9</f>
        <v>155.3</v>
      </c>
      <c r="I25" s="9" t="s">
        <v>272</v>
      </c>
      <c r="J25" s="2"/>
      <c r="K25" s="3"/>
      <c r="M25" s="46" t="s">
        <v>299</v>
      </c>
      <c r="N25" s="28" t="s">
        <v>24</v>
      </c>
      <c r="O25" s="59">
        <f>O22+O23*O24</f>
        <v>494.6289953</v>
      </c>
    </row>
    <row r="26">
      <c r="A26" s="19" t="s">
        <v>35</v>
      </c>
      <c r="B26" s="16" t="s">
        <v>21</v>
      </c>
      <c r="C26" s="40">
        <v>1.0</v>
      </c>
      <c r="E26" s="13" t="s">
        <v>43</v>
      </c>
      <c r="F26" s="14" t="s">
        <v>22</v>
      </c>
      <c r="G26" s="18">
        <f>C35/1000</f>
        <v>0.0075</v>
      </c>
      <c r="I26" s="13" t="s">
        <v>261</v>
      </c>
      <c r="J26" s="14" t="s">
        <v>24</v>
      </c>
      <c r="K26" s="18">
        <f t="shared" ref="K26:K27" si="5">C6+273</f>
        <v>503</v>
      </c>
      <c r="M26" s="9" t="s">
        <v>287</v>
      </c>
      <c r="N26" s="2"/>
      <c r="O26" s="3"/>
    </row>
    <row r="27">
      <c r="A27" s="13" t="s">
        <v>39</v>
      </c>
      <c r="B27" s="14" t="s">
        <v>21</v>
      </c>
      <c r="C27" s="30">
        <v>3.5</v>
      </c>
      <c r="E27" s="13" t="s">
        <v>65</v>
      </c>
      <c r="F27" s="14" t="s">
        <v>22</v>
      </c>
      <c r="G27" s="18">
        <f t="shared" ref="G27:G28" si="6">C31/1000</f>
        <v>0.023</v>
      </c>
      <c r="I27" s="13" t="s">
        <v>111</v>
      </c>
      <c r="J27" s="14" t="s">
        <v>24</v>
      </c>
      <c r="K27" s="18">
        <f t="shared" si="5"/>
        <v>295</v>
      </c>
      <c r="M27" s="13" t="s">
        <v>299</v>
      </c>
      <c r="N27" s="14" t="s">
        <v>24</v>
      </c>
      <c r="O27" s="18">
        <f>O25</f>
        <v>494.6289953</v>
      </c>
    </row>
    <row r="28">
      <c r="A28" s="24" t="s">
        <v>43</v>
      </c>
      <c r="B28" s="25" t="s">
        <v>21</v>
      </c>
      <c r="C28" s="31">
        <v>6.0</v>
      </c>
      <c r="E28" s="13" t="s">
        <v>68</v>
      </c>
      <c r="F28" s="14" t="s">
        <v>22</v>
      </c>
      <c r="G28" s="18">
        <f t="shared" si="6"/>
        <v>0.016</v>
      </c>
      <c r="I28" s="13" t="s">
        <v>247</v>
      </c>
      <c r="J28" s="14" t="s">
        <v>110</v>
      </c>
      <c r="K28" s="18">
        <f>K15</f>
        <v>53.8971026</v>
      </c>
      <c r="M28" s="13" t="s">
        <v>308</v>
      </c>
      <c r="N28" s="14" t="s">
        <v>110</v>
      </c>
      <c r="O28" s="18">
        <f>G36</f>
        <v>2.037867796</v>
      </c>
    </row>
    <row r="29">
      <c r="A29" s="9" t="s">
        <v>208</v>
      </c>
      <c r="B29" s="2"/>
      <c r="C29" s="3"/>
      <c r="E29" s="13" t="s">
        <v>383</v>
      </c>
      <c r="F29" s="14" t="s">
        <v>28</v>
      </c>
      <c r="G29" s="18">
        <f>G27*G28</f>
        <v>0.000368</v>
      </c>
      <c r="I29" s="46" t="s">
        <v>159</v>
      </c>
      <c r="J29" s="28" t="s">
        <v>113</v>
      </c>
      <c r="K29" s="59">
        <f>(K26-K27)/K28</f>
        <v>3.859205597</v>
      </c>
      <c r="M29" s="13" t="s">
        <v>159</v>
      </c>
      <c r="N29" s="14" t="s">
        <v>113</v>
      </c>
      <c r="O29" s="18">
        <f>K29</f>
        <v>3.859205597</v>
      </c>
    </row>
    <row r="30">
      <c r="A30" s="132" t="s">
        <v>386</v>
      </c>
      <c r="B30" s="11"/>
      <c r="C30" s="12"/>
      <c r="E30" s="32" t="s">
        <v>376</v>
      </c>
      <c r="F30" s="33" t="s">
        <v>110</v>
      </c>
      <c r="G30" s="34">
        <f>G26/(G25*G29)</f>
        <v>0.1312326773</v>
      </c>
      <c r="M30" s="46" t="s">
        <v>160</v>
      </c>
      <c r="N30" s="28" t="s">
        <v>24</v>
      </c>
      <c r="O30" s="59">
        <f>O27+O28*O29</f>
        <v>502.4935461</v>
      </c>
    </row>
    <row r="31">
      <c r="A31" s="19" t="s">
        <v>65</v>
      </c>
      <c r="B31" s="16" t="s">
        <v>21</v>
      </c>
      <c r="C31" s="40">
        <v>23.0</v>
      </c>
      <c r="E31" s="9" t="s">
        <v>304</v>
      </c>
      <c r="F31" s="2"/>
      <c r="G31" s="3"/>
      <c r="I31" s="1" t="s">
        <v>280</v>
      </c>
      <c r="J31" s="2"/>
      <c r="K31" s="3"/>
    </row>
    <row r="32">
      <c r="A32" s="13" t="s">
        <v>68</v>
      </c>
      <c r="B32" s="14" t="s">
        <v>21</v>
      </c>
      <c r="C32" s="30">
        <v>16.0</v>
      </c>
      <c r="E32" s="19" t="s">
        <v>35</v>
      </c>
      <c r="F32" s="16" t="s">
        <v>22</v>
      </c>
      <c r="G32" s="45">
        <f t="shared" ref="G32:G34" si="7">C37/1000</f>
        <v>0.001</v>
      </c>
    </row>
    <row r="33">
      <c r="A33" s="133" t="s">
        <v>387</v>
      </c>
      <c r="B33" s="2"/>
      <c r="C33" s="3"/>
      <c r="E33" s="13" t="s">
        <v>39</v>
      </c>
      <c r="F33" s="14" t="s">
        <v>22</v>
      </c>
      <c r="G33" s="18">
        <f t="shared" si="7"/>
        <v>0.00148</v>
      </c>
      <c r="I33" s="9" t="s">
        <v>284</v>
      </c>
      <c r="J33" s="2"/>
      <c r="K33" s="3"/>
    </row>
    <row r="34">
      <c r="A34" s="13" t="s">
        <v>388</v>
      </c>
      <c r="B34" s="14" t="s">
        <v>21</v>
      </c>
      <c r="C34" s="30">
        <v>4.0</v>
      </c>
      <c r="E34" s="13" t="s">
        <v>43</v>
      </c>
      <c r="F34" s="14" t="s">
        <v>22</v>
      </c>
      <c r="G34" s="18">
        <f t="shared" si="7"/>
        <v>0.0021</v>
      </c>
      <c r="I34" s="19" t="s">
        <v>147</v>
      </c>
      <c r="J34" s="16" t="s">
        <v>55</v>
      </c>
      <c r="K34" s="45">
        <f>C16</f>
        <v>1240</v>
      </c>
    </row>
    <row r="35">
      <c r="A35" s="13" t="s">
        <v>389</v>
      </c>
      <c r="B35" s="25" t="s">
        <v>21</v>
      </c>
      <c r="C35" s="31">
        <v>7.5</v>
      </c>
      <c r="E35" s="13" t="s">
        <v>294</v>
      </c>
      <c r="F35" s="14" t="s">
        <v>52</v>
      </c>
      <c r="G35" s="18">
        <f>C11</f>
        <v>14.58</v>
      </c>
      <c r="I35" s="13" t="s">
        <v>286</v>
      </c>
      <c r="J35" s="14" t="s">
        <v>15</v>
      </c>
      <c r="K35" s="80">
        <f>C17/10^9</f>
        <v>0.000000015</v>
      </c>
    </row>
    <row r="36">
      <c r="A36" s="9" t="s">
        <v>390</v>
      </c>
      <c r="B36" s="2"/>
      <c r="C36" s="3"/>
      <c r="E36" s="32" t="s">
        <v>308</v>
      </c>
      <c r="F36" s="33" t="s">
        <v>110</v>
      </c>
      <c r="G36" s="34">
        <f>LN((G33/G32))/(2*pi()*G34*G35)</f>
        <v>2.037867796</v>
      </c>
      <c r="I36" s="46" t="s">
        <v>289</v>
      </c>
      <c r="J36" s="28" t="s">
        <v>290</v>
      </c>
      <c r="K36" s="81">
        <f>K35*K34</f>
        <v>0.0000186</v>
      </c>
    </row>
    <row r="37">
      <c r="A37" s="19" t="s">
        <v>35</v>
      </c>
      <c r="B37" s="16" t="s">
        <v>21</v>
      </c>
      <c r="C37" s="40">
        <v>1.0</v>
      </c>
      <c r="E37" s="9" t="s">
        <v>391</v>
      </c>
      <c r="F37" s="2"/>
      <c r="G37" s="3"/>
      <c r="I37" s="9" t="s">
        <v>127</v>
      </c>
      <c r="J37" s="2"/>
      <c r="K37" s="3"/>
    </row>
    <row r="38">
      <c r="A38" s="13" t="s">
        <v>39</v>
      </c>
      <c r="B38" s="14" t="s">
        <v>21</v>
      </c>
      <c r="C38" s="30">
        <v>1.48</v>
      </c>
      <c r="E38" s="19" t="s">
        <v>35</v>
      </c>
      <c r="F38" s="16" t="s">
        <v>22</v>
      </c>
      <c r="G38" s="45">
        <f t="shared" ref="G38:G40" si="8">C41/1000</f>
        <v>0.0028</v>
      </c>
      <c r="I38" s="13" t="s">
        <v>289</v>
      </c>
      <c r="J38" s="16" t="s">
        <v>290</v>
      </c>
      <c r="K38" s="36">
        <f>K36</f>
        <v>0.0000186</v>
      </c>
    </row>
    <row r="39">
      <c r="A39" s="24" t="s">
        <v>43</v>
      </c>
      <c r="B39" s="25" t="s">
        <v>21</v>
      </c>
      <c r="C39" s="31">
        <v>2.1</v>
      </c>
      <c r="E39" s="13" t="s">
        <v>39</v>
      </c>
      <c r="F39" s="14" t="s">
        <v>22</v>
      </c>
      <c r="G39" s="18">
        <f t="shared" si="8"/>
        <v>0.011</v>
      </c>
      <c r="I39" s="13" t="s">
        <v>293</v>
      </c>
      <c r="J39" s="14" t="s">
        <v>157</v>
      </c>
      <c r="K39" s="18">
        <f>C18</f>
        <v>1800</v>
      </c>
    </row>
    <row r="40">
      <c r="A40" s="9" t="s">
        <v>74</v>
      </c>
      <c r="B40" s="2"/>
      <c r="C40" s="3"/>
      <c r="E40" s="13" t="s">
        <v>43</v>
      </c>
      <c r="F40" s="14" t="s">
        <v>22</v>
      </c>
      <c r="G40" s="18">
        <f t="shared" si="8"/>
        <v>0.0285</v>
      </c>
      <c r="I40" s="13" t="s">
        <v>295</v>
      </c>
      <c r="J40" s="14" t="s">
        <v>24</v>
      </c>
      <c r="K40" s="18">
        <f t="shared" ref="K40:K41" si="9">C19+273</f>
        <v>333</v>
      </c>
    </row>
    <row r="41">
      <c r="A41" s="19" t="s">
        <v>35</v>
      </c>
      <c r="B41" s="16" t="s">
        <v>21</v>
      </c>
      <c r="C41" s="40">
        <f>average(2.1,3.5)</f>
        <v>2.8</v>
      </c>
      <c r="E41" s="13" t="s">
        <v>200</v>
      </c>
      <c r="F41" s="14" t="s">
        <v>52</v>
      </c>
      <c r="G41" s="18">
        <f>C9</f>
        <v>155.3</v>
      </c>
      <c r="I41" s="13" t="s">
        <v>298</v>
      </c>
      <c r="J41" s="14" t="s">
        <v>24</v>
      </c>
      <c r="K41" s="18">
        <f t="shared" si="9"/>
        <v>503</v>
      </c>
    </row>
    <row r="42">
      <c r="A42" s="13" t="s">
        <v>39</v>
      </c>
      <c r="B42" s="14" t="s">
        <v>21</v>
      </c>
      <c r="C42" s="30">
        <v>11.0</v>
      </c>
      <c r="E42" s="32" t="s">
        <v>377</v>
      </c>
      <c r="F42" s="33" t="s">
        <v>110</v>
      </c>
      <c r="G42" s="34">
        <f>LN((G39/G38))/(2*pi()*G40*G41)</f>
        <v>0.04920140214</v>
      </c>
      <c r="I42" s="46" t="s">
        <v>301</v>
      </c>
      <c r="J42" s="28" t="s">
        <v>113</v>
      </c>
      <c r="K42" s="82">
        <f>K38*K39*(K41-K40)</f>
        <v>5.6916</v>
      </c>
    </row>
    <row r="43">
      <c r="A43" s="24" t="s">
        <v>43</v>
      </c>
      <c r="B43" s="25" t="s">
        <v>21</v>
      </c>
      <c r="C43" s="31">
        <v>28.5</v>
      </c>
      <c r="E43" s="9" t="s">
        <v>392</v>
      </c>
      <c r="F43" s="2"/>
      <c r="G43" s="3"/>
    </row>
    <row r="44">
      <c r="E44" s="19" t="s">
        <v>329</v>
      </c>
      <c r="F44" s="16" t="s">
        <v>19</v>
      </c>
      <c r="G44" s="61">
        <f>C14</f>
        <v>54.43080556</v>
      </c>
      <c r="I44" s="1" t="s">
        <v>302</v>
      </c>
      <c r="J44" s="2"/>
      <c r="K44" s="3"/>
    </row>
    <row r="45">
      <c r="E45" s="13" t="s">
        <v>35</v>
      </c>
      <c r="F45" s="14" t="s">
        <v>22</v>
      </c>
      <c r="G45" s="18">
        <f t="shared" ref="G45:G46" si="10">C41/1000</f>
        <v>0.0028</v>
      </c>
    </row>
    <row r="46">
      <c r="E46" s="13" t="s">
        <v>39</v>
      </c>
      <c r="F46" s="14" t="s">
        <v>22</v>
      </c>
      <c r="G46" s="18">
        <f t="shared" si="10"/>
        <v>0.011</v>
      </c>
      <c r="I46" s="50" t="s">
        <v>5</v>
      </c>
      <c r="J46" s="7" t="s">
        <v>6</v>
      </c>
      <c r="K46" s="51" t="s">
        <v>7</v>
      </c>
    </row>
    <row r="47">
      <c r="E47" s="13" t="s">
        <v>330</v>
      </c>
      <c r="F47" s="14" t="s">
        <v>28</v>
      </c>
      <c r="G47" s="18">
        <f>pi()*(G46^2-G45^2)</f>
        <v>0.0003555026247</v>
      </c>
      <c r="I47" s="9" t="s">
        <v>258</v>
      </c>
      <c r="J47" s="2"/>
      <c r="K47" s="3"/>
    </row>
    <row r="48">
      <c r="E48" s="46" t="s">
        <v>378</v>
      </c>
      <c r="F48" s="25" t="s">
        <v>110</v>
      </c>
      <c r="G48" s="59">
        <f>1/(G44*G47)</f>
        <v>51.67880073</v>
      </c>
      <c r="I48" s="13" t="s">
        <v>121</v>
      </c>
      <c r="J48" s="14" t="s">
        <v>113</v>
      </c>
      <c r="K48" s="18">
        <f>K24</f>
        <v>0.0405727503</v>
      </c>
    </row>
    <row r="49">
      <c r="I49" s="13" t="s">
        <v>159</v>
      </c>
      <c r="J49" s="14" t="s">
        <v>113</v>
      </c>
      <c r="K49" s="18">
        <f>K29</f>
        <v>3.859205597</v>
      </c>
    </row>
    <row r="50">
      <c r="I50" s="13" t="s">
        <v>301</v>
      </c>
      <c r="J50" s="14" t="s">
        <v>113</v>
      </c>
      <c r="K50" s="83">
        <f>K42</f>
        <v>5.6916</v>
      </c>
    </row>
    <row r="51">
      <c r="I51" s="46" t="s">
        <v>112</v>
      </c>
      <c r="J51" s="28" t="s">
        <v>113</v>
      </c>
      <c r="K51" s="59">
        <f>SUM(K48:K50)</f>
        <v>9.591378347</v>
      </c>
    </row>
  </sheetData>
  <mergeCells count="41">
    <mergeCell ref="A2:C2"/>
    <mergeCell ref="E2:G2"/>
    <mergeCell ref="I2:K2"/>
    <mergeCell ref="M2:O2"/>
    <mergeCell ref="Q2:S2"/>
    <mergeCell ref="A5:C5"/>
    <mergeCell ref="E5:G5"/>
    <mergeCell ref="Q5:S5"/>
    <mergeCell ref="Q10:R10"/>
    <mergeCell ref="Q13:S13"/>
    <mergeCell ref="M10:O10"/>
    <mergeCell ref="M16:O16"/>
    <mergeCell ref="M21:O21"/>
    <mergeCell ref="M26:O26"/>
    <mergeCell ref="I5:K5"/>
    <mergeCell ref="M5:O5"/>
    <mergeCell ref="A8:C8"/>
    <mergeCell ref="I10:K10"/>
    <mergeCell ref="E11:G11"/>
    <mergeCell ref="A12:C12"/>
    <mergeCell ref="A15:C15"/>
    <mergeCell ref="E17:G17"/>
    <mergeCell ref="I17:K17"/>
    <mergeCell ref="I20:K20"/>
    <mergeCell ref="A22:C22"/>
    <mergeCell ref="E24:G24"/>
    <mergeCell ref="A25:C25"/>
    <mergeCell ref="I25:K25"/>
    <mergeCell ref="E37:G37"/>
    <mergeCell ref="I37:K37"/>
    <mergeCell ref="A40:C40"/>
    <mergeCell ref="E43:G43"/>
    <mergeCell ref="I44:K44"/>
    <mergeCell ref="I47:K47"/>
    <mergeCell ref="A29:C29"/>
    <mergeCell ref="A30:C30"/>
    <mergeCell ref="E31:G31"/>
    <mergeCell ref="I31:K31"/>
    <mergeCell ref="A33:C33"/>
    <mergeCell ref="I33:K33"/>
    <mergeCell ref="A36:C36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5" max="5" width="48.5"/>
    <col customWidth="1" min="9" max="9" width="37.38"/>
    <col customWidth="1" min="13" max="13" width="38.88"/>
    <col customWidth="1" min="17" max="17" width="29.0"/>
  </cols>
  <sheetData>
    <row r="2">
      <c r="A2" s="1" t="s">
        <v>0</v>
      </c>
      <c r="B2" s="2"/>
      <c r="C2" s="3"/>
      <c r="E2" s="1" t="s">
        <v>99</v>
      </c>
      <c r="F2" s="2"/>
      <c r="G2" s="3"/>
      <c r="I2" s="1" t="s">
        <v>100</v>
      </c>
      <c r="J2" s="2"/>
      <c r="K2" s="3"/>
      <c r="M2" s="1" t="s">
        <v>101</v>
      </c>
      <c r="N2" s="2"/>
      <c r="O2" s="3"/>
      <c r="Q2" s="1" t="s">
        <v>102</v>
      </c>
      <c r="R2" s="2"/>
      <c r="S2" s="3"/>
    </row>
    <row r="4">
      <c r="A4" s="50" t="s">
        <v>5</v>
      </c>
      <c r="B4" s="7" t="s">
        <v>6</v>
      </c>
      <c r="C4" s="51" t="s">
        <v>7</v>
      </c>
      <c r="E4" s="50" t="s">
        <v>5</v>
      </c>
      <c r="F4" s="7" t="s">
        <v>6</v>
      </c>
      <c r="G4" s="51" t="s">
        <v>7</v>
      </c>
      <c r="I4" s="50" t="s">
        <v>5</v>
      </c>
      <c r="J4" s="7" t="s">
        <v>6</v>
      </c>
      <c r="K4" s="51" t="s">
        <v>7</v>
      </c>
      <c r="M4" s="50" t="s">
        <v>5</v>
      </c>
      <c r="N4" s="7" t="s">
        <v>6</v>
      </c>
      <c r="O4" s="51" t="s">
        <v>7</v>
      </c>
      <c r="Q4" s="50" t="s">
        <v>5</v>
      </c>
      <c r="R4" s="7" t="s">
        <v>6</v>
      </c>
      <c r="S4" s="51" t="s">
        <v>7</v>
      </c>
    </row>
    <row r="5">
      <c r="A5" s="52" t="s">
        <v>103</v>
      </c>
      <c r="C5" s="42"/>
      <c r="E5" s="52" t="s">
        <v>119</v>
      </c>
      <c r="G5" s="42"/>
      <c r="I5" s="9" t="s">
        <v>104</v>
      </c>
      <c r="J5" s="2"/>
      <c r="K5" s="3"/>
      <c r="M5" s="9" t="s">
        <v>105</v>
      </c>
      <c r="N5" s="2"/>
      <c r="O5" s="3"/>
      <c r="Q5" s="9" t="s">
        <v>106</v>
      </c>
      <c r="R5" s="2"/>
      <c r="S5" s="3"/>
    </row>
    <row r="6">
      <c r="A6" s="19" t="s">
        <v>107</v>
      </c>
      <c r="B6" s="16" t="s">
        <v>45</v>
      </c>
      <c r="C6" s="40">
        <v>230.0</v>
      </c>
      <c r="E6" s="19" t="s">
        <v>372</v>
      </c>
      <c r="F6" s="16" t="s">
        <v>19</v>
      </c>
      <c r="G6" s="61">
        <f>C13</f>
        <v>8.88</v>
      </c>
      <c r="I6" s="13" t="s">
        <v>373</v>
      </c>
      <c r="J6" s="14" t="s">
        <v>110</v>
      </c>
      <c r="K6" s="18">
        <f>G10</f>
        <v>3186.285147</v>
      </c>
      <c r="M6" s="13" t="s">
        <v>111</v>
      </c>
      <c r="N6" s="14" t="s">
        <v>24</v>
      </c>
      <c r="O6" s="18">
        <f>C7+273</f>
        <v>295</v>
      </c>
      <c r="Q6" s="19" t="s">
        <v>112</v>
      </c>
      <c r="R6" s="16" t="s">
        <v>113</v>
      </c>
      <c r="S6" s="54">
        <f>K73</f>
        <v>5.904097692</v>
      </c>
    </row>
    <row r="7">
      <c r="A7" s="24" t="s">
        <v>114</v>
      </c>
      <c r="B7" s="25" t="s">
        <v>45</v>
      </c>
      <c r="C7" s="31">
        <v>22.0</v>
      </c>
      <c r="E7" s="13" t="s">
        <v>35</v>
      </c>
      <c r="F7" s="14" t="s">
        <v>22</v>
      </c>
      <c r="G7" s="18">
        <f t="shared" ref="G7:G8" si="1">C26/1000</f>
        <v>0.001</v>
      </c>
      <c r="I7" s="13" t="s">
        <v>374</v>
      </c>
      <c r="J7" s="14" t="s">
        <v>110</v>
      </c>
      <c r="K7" s="18">
        <f>G16</f>
        <v>0.2964368406</v>
      </c>
      <c r="M7" s="13" t="s">
        <v>373</v>
      </c>
      <c r="N7" s="14" t="s">
        <v>110</v>
      </c>
      <c r="O7" s="18">
        <f>G10</f>
        <v>3186.285147</v>
      </c>
      <c r="Q7" s="13" t="s">
        <v>117</v>
      </c>
      <c r="R7" s="14" t="s">
        <v>113</v>
      </c>
      <c r="S7" s="129">
        <f>K46</f>
        <v>0.06527227566</v>
      </c>
    </row>
    <row r="8">
      <c r="A8" s="52" t="s">
        <v>118</v>
      </c>
      <c r="C8" s="42"/>
      <c r="E8" s="13" t="s">
        <v>39</v>
      </c>
      <c r="F8" s="14" t="s">
        <v>22</v>
      </c>
      <c r="G8" s="18">
        <f t="shared" si="1"/>
        <v>0.0035</v>
      </c>
      <c r="I8" s="13" t="s">
        <v>375</v>
      </c>
      <c r="J8" s="14" t="s">
        <v>110</v>
      </c>
      <c r="K8" s="18">
        <f>G23</f>
        <v>0.06999076122</v>
      </c>
      <c r="M8" s="13" t="s">
        <v>121</v>
      </c>
      <c r="N8" s="14" t="s">
        <v>113</v>
      </c>
      <c r="O8" s="18">
        <f>K46</f>
        <v>0.06527227566</v>
      </c>
      <c r="Q8" s="13" t="s">
        <v>122</v>
      </c>
      <c r="R8" s="14" t="s">
        <v>113</v>
      </c>
      <c r="S8" s="129">
        <f>K51</f>
        <v>0.1472254168</v>
      </c>
    </row>
    <row r="9">
      <c r="A9" s="19" t="s">
        <v>123</v>
      </c>
      <c r="B9" s="16" t="s">
        <v>52</v>
      </c>
      <c r="C9" s="40">
        <v>155.3</v>
      </c>
      <c r="E9" s="13" t="s">
        <v>134</v>
      </c>
      <c r="F9" s="14" t="s">
        <v>28</v>
      </c>
      <c r="G9" s="18">
        <f>pi()*(G8^2-G7^2)</f>
        <v>0.00003534291735</v>
      </c>
      <c r="I9" s="46" t="s">
        <v>120</v>
      </c>
      <c r="J9" s="28" t="s">
        <v>110</v>
      </c>
      <c r="K9" s="59">
        <f>SUM(K6:K8)</f>
        <v>3186.651575</v>
      </c>
      <c r="M9" s="46" t="s">
        <v>126</v>
      </c>
      <c r="N9" s="28" t="s">
        <v>24</v>
      </c>
      <c r="O9" s="59">
        <f>O6+O7*O8</f>
        <v>502.9760824</v>
      </c>
      <c r="Q9" s="13" t="s">
        <v>127</v>
      </c>
      <c r="R9" s="25" t="s">
        <v>113</v>
      </c>
      <c r="S9" s="62">
        <f>K64</f>
        <v>5.6916</v>
      </c>
    </row>
    <row r="10">
      <c r="A10" s="13" t="s">
        <v>128</v>
      </c>
      <c r="B10" s="14" t="s">
        <v>52</v>
      </c>
      <c r="C10" s="31">
        <v>112.1</v>
      </c>
      <c r="E10" s="46" t="s">
        <v>373</v>
      </c>
      <c r="F10" s="28" t="s">
        <v>110</v>
      </c>
      <c r="G10" s="59">
        <f>1/(G6*G9)</f>
        <v>3186.285147</v>
      </c>
      <c r="I10" s="52" t="s">
        <v>125</v>
      </c>
      <c r="K10" s="42"/>
      <c r="M10" s="9" t="s">
        <v>130</v>
      </c>
      <c r="N10" s="2"/>
      <c r="O10" s="3"/>
      <c r="Q10" s="41" t="s">
        <v>131</v>
      </c>
      <c r="R10" s="3"/>
      <c r="S10" s="130">
        <f>S6-SUM(S7:S9)</f>
        <v>0</v>
      </c>
    </row>
    <row r="11">
      <c r="A11" s="24" t="s">
        <v>132</v>
      </c>
      <c r="B11" s="25" t="s">
        <v>52</v>
      </c>
      <c r="C11" s="31">
        <v>14.58</v>
      </c>
      <c r="E11" s="9" t="s">
        <v>139</v>
      </c>
      <c r="F11" s="2"/>
      <c r="G11" s="3"/>
      <c r="I11" s="19" t="s">
        <v>376</v>
      </c>
      <c r="J11" s="16" t="s">
        <v>110</v>
      </c>
      <c r="K11" s="61">
        <f>G30</f>
        <v>0.1312326773</v>
      </c>
      <c r="M11" s="13" t="s">
        <v>126</v>
      </c>
      <c r="N11" s="14" t="s">
        <v>24</v>
      </c>
      <c r="O11" s="18">
        <f>O9</f>
        <v>502.9760824</v>
      </c>
    </row>
    <row r="12">
      <c r="A12" s="9" t="s">
        <v>11</v>
      </c>
      <c r="B12" s="2"/>
      <c r="C12" s="3"/>
      <c r="E12" s="19" t="s">
        <v>35</v>
      </c>
      <c r="F12" s="16" t="s">
        <v>22</v>
      </c>
      <c r="G12" s="45">
        <f t="shared" ref="G12:G14" si="2">C26/1000</f>
        <v>0.001</v>
      </c>
      <c r="I12" s="13" t="s">
        <v>308</v>
      </c>
      <c r="J12" s="14" t="s">
        <v>110</v>
      </c>
      <c r="K12" s="18">
        <f>G36</f>
        <v>2.037867796</v>
      </c>
      <c r="M12" s="13" t="s">
        <v>374</v>
      </c>
      <c r="N12" s="14" t="s">
        <v>110</v>
      </c>
      <c r="O12" s="18">
        <f>G16</f>
        <v>0.2964368406</v>
      </c>
      <c r="Q12" s="50" t="s">
        <v>5</v>
      </c>
      <c r="R12" s="7" t="s">
        <v>6</v>
      </c>
      <c r="S12" s="51" t="s">
        <v>7</v>
      </c>
    </row>
    <row r="13">
      <c r="A13" s="19" t="s">
        <v>393</v>
      </c>
      <c r="B13" s="16" t="s">
        <v>19</v>
      </c>
      <c r="C13" s="40">
        <v>8.88</v>
      </c>
      <c r="E13" s="13" t="s">
        <v>39</v>
      </c>
      <c r="F13" s="14" t="s">
        <v>22</v>
      </c>
      <c r="G13" s="18">
        <f t="shared" si="2"/>
        <v>0.0035</v>
      </c>
      <c r="I13" s="13" t="s">
        <v>394</v>
      </c>
      <c r="J13" s="14" t="s">
        <v>110</v>
      </c>
      <c r="K13" s="18">
        <f>$G$42</f>
        <v>1.402239961</v>
      </c>
      <c r="M13" s="13" t="s">
        <v>121</v>
      </c>
      <c r="N13" s="14" t="s">
        <v>113</v>
      </c>
      <c r="O13" s="18">
        <f>K46</f>
        <v>0.06527227566</v>
      </c>
      <c r="Q13" s="9" t="s">
        <v>138</v>
      </c>
      <c r="R13" s="2"/>
      <c r="S13" s="3"/>
    </row>
    <row r="14">
      <c r="A14" s="13" t="s">
        <v>30</v>
      </c>
      <c r="B14" s="25" t="s">
        <v>19</v>
      </c>
      <c r="C14" s="30">
        <v>26.1</v>
      </c>
      <c r="E14" s="13" t="s">
        <v>43</v>
      </c>
      <c r="F14" s="14" t="s">
        <v>22</v>
      </c>
      <c r="G14" s="18">
        <f t="shared" si="2"/>
        <v>0.006</v>
      </c>
      <c r="I14" s="13" t="s">
        <v>395</v>
      </c>
      <c r="J14" s="14" t="s">
        <v>110</v>
      </c>
      <c r="K14" s="18">
        <f>$G$48</f>
        <v>116.150296</v>
      </c>
      <c r="M14" s="46" t="s">
        <v>141</v>
      </c>
      <c r="N14" s="28" t="s">
        <v>24</v>
      </c>
      <c r="O14" s="59">
        <f>O11+O12*O13</f>
        <v>502.9954315</v>
      </c>
      <c r="Q14" s="19" t="s">
        <v>142</v>
      </c>
      <c r="R14" s="16" t="s">
        <v>45</v>
      </c>
      <c r="S14" s="54">
        <f>C7</f>
        <v>22</v>
      </c>
    </row>
    <row r="15">
      <c r="A15" s="9" t="s">
        <v>144</v>
      </c>
      <c r="B15" s="2"/>
      <c r="C15" s="3"/>
      <c r="E15" s="13" t="s">
        <v>152</v>
      </c>
      <c r="F15" s="14" t="s">
        <v>52</v>
      </c>
      <c r="G15" s="18">
        <f>C10</f>
        <v>112.1</v>
      </c>
      <c r="I15" s="13" t="s">
        <v>396</v>
      </c>
      <c r="J15" s="14" t="s">
        <v>110</v>
      </c>
      <c r="K15" s="18">
        <f>$G$42</f>
        <v>1.402239961</v>
      </c>
      <c r="Q15" s="13" t="s">
        <v>126</v>
      </c>
      <c r="R15" s="14" t="s">
        <v>45</v>
      </c>
      <c r="S15" s="129">
        <f>O9-273</f>
        <v>229.9760824</v>
      </c>
    </row>
    <row r="16">
      <c r="A16" s="19" t="s">
        <v>147</v>
      </c>
      <c r="B16" s="16" t="s">
        <v>55</v>
      </c>
      <c r="C16" s="40">
        <v>1240.0</v>
      </c>
      <c r="E16" s="32" t="s">
        <v>374</v>
      </c>
      <c r="F16" s="33" t="s">
        <v>110</v>
      </c>
      <c r="G16" s="34">
        <f>LN((G13/G12))/(2*pi()*G14*G15)</f>
        <v>0.2964368406</v>
      </c>
      <c r="I16" s="13" t="s">
        <v>397</v>
      </c>
      <c r="J16" s="14" t="s">
        <v>110</v>
      </c>
      <c r="K16" s="18">
        <f>$G$48</f>
        <v>116.150296</v>
      </c>
      <c r="M16" s="9" t="s">
        <v>146</v>
      </c>
      <c r="N16" s="2"/>
      <c r="O16" s="3"/>
      <c r="Q16" s="13" t="s">
        <v>141</v>
      </c>
      <c r="R16" s="14" t="s">
        <v>45</v>
      </c>
      <c r="S16" s="129">
        <f>O14-273</f>
        <v>229.9954315</v>
      </c>
    </row>
    <row r="17">
      <c r="A17" s="13" t="s">
        <v>150</v>
      </c>
      <c r="B17" s="14" t="s">
        <v>151</v>
      </c>
      <c r="C17" s="30">
        <v>15.0</v>
      </c>
      <c r="E17" s="9" t="s">
        <v>380</v>
      </c>
      <c r="F17" s="2"/>
      <c r="G17" s="3"/>
      <c r="I17" s="13" t="s">
        <v>398</v>
      </c>
      <c r="J17" s="14" t="s">
        <v>110</v>
      </c>
      <c r="K17" s="18">
        <f>$G$42</f>
        <v>1.402239961</v>
      </c>
      <c r="M17" s="13" t="s">
        <v>111</v>
      </c>
      <c r="N17" s="14" t="s">
        <v>24</v>
      </c>
      <c r="O17" s="18">
        <f>C7+273</f>
        <v>295</v>
      </c>
      <c r="Q17" s="13" t="s">
        <v>149</v>
      </c>
      <c r="R17" s="14" t="s">
        <v>45</v>
      </c>
      <c r="S17" s="129">
        <f>C6</f>
        <v>230</v>
      </c>
    </row>
    <row r="18">
      <c r="A18" s="13" t="s">
        <v>156</v>
      </c>
      <c r="B18" s="14" t="s">
        <v>157</v>
      </c>
      <c r="C18" s="30">
        <v>1800.0</v>
      </c>
      <c r="E18" s="13" t="s">
        <v>200</v>
      </c>
      <c r="F18" s="14" t="s">
        <v>52</v>
      </c>
      <c r="G18" s="45">
        <f>C9</f>
        <v>155.3</v>
      </c>
      <c r="I18" s="13" t="s">
        <v>399</v>
      </c>
      <c r="J18" s="14" t="s">
        <v>110</v>
      </c>
      <c r="K18" s="18">
        <f>$G$48</f>
        <v>116.150296</v>
      </c>
      <c r="M18" s="13" t="s">
        <v>400</v>
      </c>
      <c r="N18" s="14" t="s">
        <v>110</v>
      </c>
      <c r="O18" s="18">
        <f>G48</f>
        <v>116.150296</v>
      </c>
      <c r="Q18" s="13" t="s">
        <v>160</v>
      </c>
      <c r="R18" s="14" t="s">
        <v>45</v>
      </c>
      <c r="S18" s="129">
        <f>O59-273</f>
        <v>229.9806792</v>
      </c>
    </row>
    <row r="19">
      <c r="A19" s="13" t="s">
        <v>161</v>
      </c>
      <c r="B19" s="14" t="s">
        <v>45</v>
      </c>
      <c r="C19" s="30">
        <v>60.0</v>
      </c>
      <c r="E19" s="13" t="s">
        <v>43</v>
      </c>
      <c r="F19" s="14" t="s">
        <v>22</v>
      </c>
      <c r="G19" s="18">
        <f>C34/1000</f>
        <v>0.004</v>
      </c>
      <c r="I19" s="13" t="s">
        <v>401</v>
      </c>
      <c r="J19" s="14" t="s">
        <v>110</v>
      </c>
      <c r="K19" s="18">
        <f>$G$42</f>
        <v>1.402239961</v>
      </c>
      <c r="M19" s="13" t="s">
        <v>159</v>
      </c>
      <c r="N19" s="14" t="s">
        <v>113</v>
      </c>
      <c r="O19" s="18">
        <f>K51</f>
        <v>0.1472254168</v>
      </c>
      <c r="Q19" s="13" t="s">
        <v>178</v>
      </c>
      <c r="R19" s="14" t="s">
        <v>45</v>
      </c>
      <c r="S19" s="129">
        <f>O54-273</f>
        <v>229.6806533</v>
      </c>
    </row>
    <row r="20">
      <c r="A20" s="24" t="s">
        <v>165</v>
      </c>
      <c r="B20" s="25" t="s">
        <v>45</v>
      </c>
      <c r="C20" s="31">
        <v>230.0</v>
      </c>
      <c r="E20" s="13" t="s">
        <v>65</v>
      </c>
      <c r="F20" s="14" t="s">
        <v>22</v>
      </c>
      <c r="G20" s="18">
        <f t="shared" ref="G20:G21" si="3">C31/1000</f>
        <v>0.023</v>
      </c>
      <c r="I20" s="13" t="s">
        <v>402</v>
      </c>
      <c r="J20" s="14" t="s">
        <v>110</v>
      </c>
      <c r="K20" s="18">
        <f>$G$48</f>
        <v>116.150296</v>
      </c>
      <c r="M20" s="46" t="s">
        <v>163</v>
      </c>
      <c r="N20" s="28" t="s">
        <v>24</v>
      </c>
      <c r="O20" s="59">
        <f>O17+O18*O19</f>
        <v>312.1002757</v>
      </c>
      <c r="Q20" s="13" t="s">
        <v>181</v>
      </c>
      <c r="R20" s="14" t="s">
        <v>45</v>
      </c>
      <c r="S20" s="129">
        <f>O48-273</f>
        <v>229.4742079</v>
      </c>
    </row>
    <row r="21">
      <c r="E21" s="13" t="s">
        <v>68</v>
      </c>
      <c r="F21" s="14" t="s">
        <v>22</v>
      </c>
      <c r="G21" s="18">
        <f t="shared" si="3"/>
        <v>0.016</v>
      </c>
      <c r="I21" s="13" t="s">
        <v>403</v>
      </c>
      <c r="J21" s="14" t="s">
        <v>110</v>
      </c>
      <c r="K21" s="18">
        <f>$G$42</f>
        <v>1.402239961</v>
      </c>
      <c r="Q21" s="13" t="s">
        <v>184</v>
      </c>
      <c r="R21" s="14" t="s">
        <v>45</v>
      </c>
      <c r="S21" s="129">
        <f>O47-273</f>
        <v>212.3739322</v>
      </c>
    </row>
    <row r="22">
      <c r="A22" s="1" t="s">
        <v>171</v>
      </c>
      <c r="B22" s="2"/>
      <c r="C22" s="3"/>
      <c r="E22" s="13" t="s">
        <v>383</v>
      </c>
      <c r="F22" s="14" t="s">
        <v>28</v>
      </c>
      <c r="G22" s="18">
        <f>G21*G20</f>
        <v>0.000368</v>
      </c>
      <c r="I22" s="13" t="s">
        <v>404</v>
      </c>
      <c r="J22" s="14" t="s">
        <v>110</v>
      </c>
      <c r="K22" s="18">
        <f>$G$48</f>
        <v>116.150296</v>
      </c>
      <c r="M22" s="9" t="s">
        <v>169</v>
      </c>
      <c r="N22" s="2"/>
      <c r="O22" s="3"/>
      <c r="Q22" s="13" t="s">
        <v>187</v>
      </c>
      <c r="R22" s="14" t="s">
        <v>45</v>
      </c>
      <c r="S22" s="129">
        <f>O46-273</f>
        <v>212.1674868</v>
      </c>
    </row>
    <row r="23">
      <c r="E23" s="32" t="s">
        <v>375</v>
      </c>
      <c r="F23" s="33" t="s">
        <v>110</v>
      </c>
      <c r="G23" s="34">
        <f>G19/(G18*G22)</f>
        <v>0.06999076122</v>
      </c>
      <c r="I23" s="13" t="s">
        <v>405</v>
      </c>
      <c r="J23" s="14" t="s">
        <v>110</v>
      </c>
      <c r="K23" s="18">
        <f>$G$42</f>
        <v>1.402239961</v>
      </c>
      <c r="M23" s="13" t="s">
        <v>406</v>
      </c>
      <c r="N23" s="14" t="s">
        <v>110</v>
      </c>
      <c r="O23" s="18">
        <f>G42</f>
        <v>1.402239961</v>
      </c>
      <c r="Q23" s="13" t="s">
        <v>189</v>
      </c>
      <c r="R23" s="14" t="s">
        <v>45</v>
      </c>
      <c r="S23" s="129">
        <f>O45-273</f>
        <v>195.0672111</v>
      </c>
    </row>
    <row r="24">
      <c r="A24" s="50" t="s">
        <v>5</v>
      </c>
      <c r="B24" s="7" t="s">
        <v>6</v>
      </c>
      <c r="C24" s="51" t="s">
        <v>7</v>
      </c>
      <c r="E24" s="9" t="s">
        <v>384</v>
      </c>
      <c r="F24" s="2"/>
      <c r="G24" s="3"/>
      <c r="I24" s="13" t="s">
        <v>407</v>
      </c>
      <c r="J24" s="14" t="s">
        <v>110</v>
      </c>
      <c r="K24" s="18">
        <f>$G$48</f>
        <v>116.150296</v>
      </c>
      <c r="M24" s="13" t="s">
        <v>400</v>
      </c>
      <c r="N24" s="14" t="s">
        <v>110</v>
      </c>
      <c r="O24" s="18">
        <f>G48</f>
        <v>116.150296</v>
      </c>
      <c r="Q24" s="13" t="s">
        <v>194</v>
      </c>
      <c r="R24" s="14" t="s">
        <v>45</v>
      </c>
      <c r="S24" s="129">
        <f>O44-273</f>
        <v>194.8607657</v>
      </c>
    </row>
    <row r="25">
      <c r="A25" s="9" t="s">
        <v>385</v>
      </c>
      <c r="B25" s="2"/>
      <c r="C25" s="3"/>
      <c r="E25" s="13" t="s">
        <v>200</v>
      </c>
      <c r="F25" s="14" t="s">
        <v>52</v>
      </c>
      <c r="G25" s="45">
        <f>C9</f>
        <v>155.3</v>
      </c>
      <c r="I25" s="13" t="s">
        <v>408</v>
      </c>
      <c r="J25" s="14" t="s">
        <v>110</v>
      </c>
      <c r="K25" s="18">
        <f>$G$42</f>
        <v>1.402239961</v>
      </c>
      <c r="M25" s="13" t="s">
        <v>159</v>
      </c>
      <c r="N25" s="14" t="s">
        <v>113</v>
      </c>
      <c r="O25" s="18">
        <f>K51</f>
        <v>0.1472254168</v>
      </c>
      <c r="Q25" s="13" t="s">
        <v>199</v>
      </c>
      <c r="R25" s="14" t="s">
        <v>45</v>
      </c>
      <c r="S25" s="129">
        <f>O43-273</f>
        <v>177.76049</v>
      </c>
    </row>
    <row r="26">
      <c r="A26" s="19" t="s">
        <v>35</v>
      </c>
      <c r="B26" s="16" t="s">
        <v>21</v>
      </c>
      <c r="C26" s="40">
        <v>1.0</v>
      </c>
      <c r="E26" s="13" t="s">
        <v>43</v>
      </c>
      <c r="F26" s="14" t="s">
        <v>22</v>
      </c>
      <c r="G26" s="18">
        <f>C35/1000</f>
        <v>0.0075</v>
      </c>
      <c r="I26" s="13" t="s">
        <v>409</v>
      </c>
      <c r="J26" s="14" t="s">
        <v>110</v>
      </c>
      <c r="K26" s="18">
        <f>$G$48</f>
        <v>116.150296</v>
      </c>
      <c r="M26" s="19" t="s">
        <v>163</v>
      </c>
      <c r="N26" s="16" t="s">
        <v>24</v>
      </c>
      <c r="O26" s="64">
        <f>O20</f>
        <v>312.1002757</v>
      </c>
      <c r="Q26" s="13" t="s">
        <v>204</v>
      </c>
      <c r="R26" s="14" t="s">
        <v>45</v>
      </c>
      <c r="S26" s="129">
        <f>O42-273</f>
        <v>177.5540446</v>
      </c>
    </row>
    <row r="27">
      <c r="A27" s="13" t="s">
        <v>39</v>
      </c>
      <c r="B27" s="14" t="s">
        <v>21</v>
      </c>
      <c r="C27" s="30">
        <v>3.5</v>
      </c>
      <c r="E27" s="13" t="s">
        <v>65</v>
      </c>
      <c r="F27" s="14" t="s">
        <v>22</v>
      </c>
      <c r="G27" s="18">
        <f t="shared" ref="G27:G28" si="4">C31/1000</f>
        <v>0.023</v>
      </c>
      <c r="I27" s="13" t="s">
        <v>410</v>
      </c>
      <c r="J27" s="14" t="s">
        <v>110</v>
      </c>
      <c r="K27" s="18">
        <f>$G$42</f>
        <v>1.402239961</v>
      </c>
      <c r="M27" s="13" t="s">
        <v>192</v>
      </c>
      <c r="N27" s="14" t="s">
        <v>24</v>
      </c>
      <c r="O27" s="22">
        <f>O26+$O$25*$O$23</f>
        <v>312.3067211</v>
      </c>
      <c r="Q27" s="13" t="s">
        <v>207</v>
      </c>
      <c r="R27" s="14" t="s">
        <v>45</v>
      </c>
      <c r="S27" s="129">
        <f>O41-273</f>
        <v>160.4537689</v>
      </c>
    </row>
    <row r="28">
      <c r="A28" s="24" t="s">
        <v>43</v>
      </c>
      <c r="B28" s="25" t="s">
        <v>21</v>
      </c>
      <c r="C28" s="31">
        <v>6.0</v>
      </c>
      <c r="E28" s="13" t="s">
        <v>68</v>
      </c>
      <c r="F28" s="14" t="s">
        <v>22</v>
      </c>
      <c r="G28" s="18">
        <f t="shared" si="4"/>
        <v>0.016</v>
      </c>
      <c r="I28" s="13" t="s">
        <v>411</v>
      </c>
      <c r="J28" s="14" t="s">
        <v>110</v>
      </c>
      <c r="K28" s="18">
        <f>$G$48</f>
        <v>116.150296</v>
      </c>
      <c r="M28" s="13" t="s">
        <v>198</v>
      </c>
      <c r="N28" s="14" t="s">
        <v>24</v>
      </c>
      <c r="O28" s="22">
        <f>O27+$O$25*$O$24</f>
        <v>329.4069969</v>
      </c>
      <c r="Q28" s="13" t="s">
        <v>212</v>
      </c>
      <c r="R28" s="14" t="s">
        <v>45</v>
      </c>
      <c r="S28" s="129">
        <f>O40-273</f>
        <v>160.2473235</v>
      </c>
    </row>
    <row r="29">
      <c r="A29" s="9" t="s">
        <v>208</v>
      </c>
      <c r="B29" s="2"/>
      <c r="C29" s="3"/>
      <c r="E29" s="13" t="s">
        <v>383</v>
      </c>
      <c r="F29" s="14" t="s">
        <v>28</v>
      </c>
      <c r="G29" s="18">
        <f>G27*G28</f>
        <v>0.000368</v>
      </c>
      <c r="I29" s="13" t="s">
        <v>412</v>
      </c>
      <c r="J29" s="14" t="s">
        <v>110</v>
      </c>
      <c r="K29" s="18">
        <f>$G$42</f>
        <v>1.402239961</v>
      </c>
      <c r="M29" s="13" t="s">
        <v>202</v>
      </c>
      <c r="N29" s="14" t="s">
        <v>24</v>
      </c>
      <c r="O29" s="22">
        <f>O28+$O$25*$O$23</f>
        <v>329.6134422</v>
      </c>
      <c r="Q29" s="13" t="s">
        <v>216</v>
      </c>
      <c r="R29" s="14" t="s">
        <v>45</v>
      </c>
      <c r="S29" s="129">
        <f>O39-273</f>
        <v>143.1470477</v>
      </c>
    </row>
    <row r="30">
      <c r="A30" s="132" t="s">
        <v>386</v>
      </c>
      <c r="B30" s="11"/>
      <c r="C30" s="12"/>
      <c r="E30" s="32" t="s">
        <v>376</v>
      </c>
      <c r="F30" s="33" t="s">
        <v>110</v>
      </c>
      <c r="G30" s="34">
        <f>G26/(G25*G29)</f>
        <v>0.1312326773</v>
      </c>
      <c r="I30" s="13" t="s">
        <v>413</v>
      </c>
      <c r="J30" s="14" t="s">
        <v>110</v>
      </c>
      <c r="K30" s="18">
        <f>$G$48</f>
        <v>116.150296</v>
      </c>
      <c r="M30" s="13" t="s">
        <v>206</v>
      </c>
      <c r="N30" s="14" t="s">
        <v>24</v>
      </c>
      <c r="O30" s="22">
        <f>O29+$O$25*$O$24</f>
        <v>346.713718</v>
      </c>
      <c r="Q30" s="13" t="s">
        <v>224</v>
      </c>
      <c r="R30" s="14" t="s">
        <v>45</v>
      </c>
      <c r="S30" s="129">
        <f>O38-273</f>
        <v>142.9406024</v>
      </c>
    </row>
    <row r="31">
      <c r="A31" s="19" t="s">
        <v>65</v>
      </c>
      <c r="B31" s="16" t="s">
        <v>21</v>
      </c>
      <c r="C31" s="40">
        <v>23.0</v>
      </c>
      <c r="E31" s="9" t="s">
        <v>304</v>
      </c>
      <c r="F31" s="2"/>
      <c r="G31" s="3"/>
      <c r="I31" s="13" t="s">
        <v>414</v>
      </c>
      <c r="J31" s="14" t="s">
        <v>110</v>
      </c>
      <c r="K31" s="18">
        <f>$G$42</f>
        <v>1.402239961</v>
      </c>
      <c r="M31" s="13" t="s">
        <v>210</v>
      </c>
      <c r="N31" s="14" t="s">
        <v>24</v>
      </c>
      <c r="O31" s="22">
        <f>O30+$O$25*$O$23</f>
        <v>346.9201633</v>
      </c>
      <c r="Q31" s="13" t="s">
        <v>232</v>
      </c>
      <c r="R31" s="14" t="s">
        <v>45</v>
      </c>
      <c r="S31" s="129">
        <f>O37-273</f>
        <v>125.8403266</v>
      </c>
    </row>
    <row r="32">
      <c r="A32" s="13" t="s">
        <v>68</v>
      </c>
      <c r="B32" s="14" t="s">
        <v>21</v>
      </c>
      <c r="C32" s="30">
        <v>16.0</v>
      </c>
      <c r="E32" s="19" t="s">
        <v>35</v>
      </c>
      <c r="F32" s="16" t="s">
        <v>22</v>
      </c>
      <c r="G32" s="45">
        <f t="shared" ref="G32:G34" si="5">C37/1000</f>
        <v>0.001</v>
      </c>
      <c r="I32" s="13" t="s">
        <v>415</v>
      </c>
      <c r="J32" s="14" t="s">
        <v>110</v>
      </c>
      <c r="K32" s="18">
        <f>$G$48</f>
        <v>116.150296</v>
      </c>
      <c r="M32" s="13" t="s">
        <v>215</v>
      </c>
      <c r="N32" s="14" t="s">
        <v>24</v>
      </c>
      <c r="O32" s="22">
        <f>O31+$O$25*$O$24</f>
        <v>364.0204391</v>
      </c>
      <c r="Q32" s="13" t="s">
        <v>238</v>
      </c>
      <c r="R32" s="14" t="s">
        <v>45</v>
      </c>
      <c r="S32" s="129">
        <f>O36-273</f>
        <v>125.6338813</v>
      </c>
    </row>
    <row r="33">
      <c r="A33" s="133" t="s">
        <v>387</v>
      </c>
      <c r="B33" s="2"/>
      <c r="C33" s="3"/>
      <c r="E33" s="13" t="s">
        <v>39</v>
      </c>
      <c r="F33" s="14" t="s">
        <v>22</v>
      </c>
      <c r="G33" s="18">
        <f t="shared" si="5"/>
        <v>0.00148</v>
      </c>
      <c r="I33" s="13" t="s">
        <v>416</v>
      </c>
      <c r="J33" s="14" t="s">
        <v>110</v>
      </c>
      <c r="K33" s="18">
        <f>$G$42</f>
        <v>1.402239961</v>
      </c>
      <c r="M33" s="13" t="s">
        <v>222</v>
      </c>
      <c r="N33" s="14" t="s">
        <v>24</v>
      </c>
      <c r="O33" s="22">
        <f>O32+$O$25*$O$23</f>
        <v>364.2268844</v>
      </c>
      <c r="Q33" s="13" t="s">
        <v>236</v>
      </c>
      <c r="R33" s="14" t="s">
        <v>45</v>
      </c>
      <c r="S33" s="129">
        <f>O35-273</f>
        <v>108.5336055</v>
      </c>
    </row>
    <row r="34">
      <c r="A34" s="13" t="s">
        <v>388</v>
      </c>
      <c r="B34" s="14" t="s">
        <v>21</v>
      </c>
      <c r="C34" s="30">
        <v>4.0</v>
      </c>
      <c r="E34" s="13" t="s">
        <v>43</v>
      </c>
      <c r="F34" s="14" t="s">
        <v>22</v>
      </c>
      <c r="G34" s="18">
        <f t="shared" si="5"/>
        <v>0.0021</v>
      </c>
      <c r="I34" s="13" t="s">
        <v>417</v>
      </c>
      <c r="J34" s="14" t="s">
        <v>110</v>
      </c>
      <c r="K34" s="18">
        <f>$G$48</f>
        <v>116.150296</v>
      </c>
      <c r="M34" s="13" t="s">
        <v>231</v>
      </c>
      <c r="N34" s="14" t="s">
        <v>24</v>
      </c>
      <c r="O34" s="22">
        <f>O33+$O$25*$O$24</f>
        <v>381.3271602</v>
      </c>
      <c r="Q34" s="13" t="s">
        <v>231</v>
      </c>
      <c r="R34" s="14" t="s">
        <v>45</v>
      </c>
      <c r="S34" s="129">
        <f>O34-273</f>
        <v>108.3271602</v>
      </c>
    </row>
    <row r="35">
      <c r="A35" s="13" t="s">
        <v>389</v>
      </c>
      <c r="B35" s="25" t="s">
        <v>21</v>
      </c>
      <c r="C35" s="31">
        <v>7.5</v>
      </c>
      <c r="E35" s="13" t="s">
        <v>294</v>
      </c>
      <c r="F35" s="14" t="s">
        <v>52</v>
      </c>
      <c r="G35" s="18">
        <f>C11</f>
        <v>14.58</v>
      </c>
      <c r="I35" s="13" t="s">
        <v>418</v>
      </c>
      <c r="J35" s="14" t="s">
        <v>110</v>
      </c>
      <c r="K35" s="18">
        <f>$G$42</f>
        <v>1.402239961</v>
      </c>
      <c r="M35" s="13" t="s">
        <v>236</v>
      </c>
      <c r="N35" s="14" t="s">
        <v>24</v>
      </c>
      <c r="O35" s="22">
        <f>O34+$O$25*$O$23</f>
        <v>381.5336055</v>
      </c>
      <c r="Q35" s="13" t="s">
        <v>222</v>
      </c>
      <c r="R35" s="14" t="s">
        <v>45</v>
      </c>
      <c r="S35" s="129">
        <f>O33-273</f>
        <v>91.22688443</v>
      </c>
    </row>
    <row r="36">
      <c r="A36" s="9" t="s">
        <v>390</v>
      </c>
      <c r="B36" s="2"/>
      <c r="C36" s="3"/>
      <c r="E36" s="32" t="s">
        <v>308</v>
      </c>
      <c r="F36" s="33" t="s">
        <v>110</v>
      </c>
      <c r="G36" s="34">
        <f>LN((G33/G32))/(2*pi()*G34*G35)</f>
        <v>2.037867796</v>
      </c>
      <c r="I36" s="13" t="s">
        <v>419</v>
      </c>
      <c r="J36" s="14" t="s">
        <v>110</v>
      </c>
      <c r="K36" s="18">
        <f>$G$48</f>
        <v>116.150296</v>
      </c>
      <c r="M36" s="13" t="s">
        <v>238</v>
      </c>
      <c r="N36" s="14" t="s">
        <v>24</v>
      </c>
      <c r="O36" s="22">
        <f>O35+$O$25*$O$24</f>
        <v>398.6338813</v>
      </c>
      <c r="Q36" s="13" t="s">
        <v>215</v>
      </c>
      <c r="R36" s="14" t="s">
        <v>45</v>
      </c>
      <c r="S36" s="129">
        <f>O32-273</f>
        <v>91.02043906</v>
      </c>
    </row>
    <row r="37">
      <c r="A37" s="19" t="s">
        <v>35</v>
      </c>
      <c r="B37" s="16" t="s">
        <v>21</v>
      </c>
      <c r="C37" s="40">
        <v>1.0</v>
      </c>
      <c r="E37" s="9" t="s">
        <v>420</v>
      </c>
      <c r="F37" s="2"/>
      <c r="G37" s="3"/>
      <c r="I37" s="46" t="s">
        <v>247</v>
      </c>
      <c r="J37" s="28" t="s">
        <v>110</v>
      </c>
      <c r="K37" s="59">
        <f>SUM(K11:K36)</f>
        <v>1412.799532</v>
      </c>
      <c r="M37" s="13" t="s">
        <v>232</v>
      </c>
      <c r="N37" s="14" t="s">
        <v>24</v>
      </c>
      <c r="O37" s="22">
        <f>O36+$O$25*$O$23</f>
        <v>398.8403266</v>
      </c>
      <c r="Q37" s="13" t="s">
        <v>210</v>
      </c>
      <c r="R37" s="14" t="s">
        <v>45</v>
      </c>
      <c r="S37" s="129">
        <f>O31-273</f>
        <v>73.92016332</v>
      </c>
    </row>
    <row r="38">
      <c r="A38" s="13" t="s">
        <v>39</v>
      </c>
      <c r="B38" s="14" t="s">
        <v>21</v>
      </c>
      <c r="C38" s="30">
        <v>1.48</v>
      </c>
      <c r="E38" s="19" t="s">
        <v>35</v>
      </c>
      <c r="F38" s="16" t="s">
        <v>22</v>
      </c>
      <c r="G38" s="45">
        <f>C41/1000</f>
        <v>0.0028</v>
      </c>
      <c r="M38" s="13" t="s">
        <v>224</v>
      </c>
      <c r="N38" s="14" t="s">
        <v>24</v>
      </c>
      <c r="O38" s="22">
        <f>O37+$O$25*$O$24</f>
        <v>415.9406024</v>
      </c>
      <c r="Q38" s="13" t="s">
        <v>206</v>
      </c>
      <c r="R38" s="14" t="s">
        <v>45</v>
      </c>
      <c r="S38" s="129">
        <f>O30-273</f>
        <v>73.71371796</v>
      </c>
    </row>
    <row r="39">
      <c r="A39" s="24" t="s">
        <v>43</v>
      </c>
      <c r="B39" s="25" t="s">
        <v>21</v>
      </c>
      <c r="C39" s="31">
        <v>2.1</v>
      </c>
      <c r="E39" s="13" t="s">
        <v>39</v>
      </c>
      <c r="F39" s="14" t="s">
        <v>22</v>
      </c>
      <c r="G39" s="18">
        <f t="shared" ref="G39:G40" si="6">C43/1000</f>
        <v>0.011</v>
      </c>
      <c r="I39" s="1" t="s">
        <v>251</v>
      </c>
      <c r="J39" s="2"/>
      <c r="K39" s="3"/>
      <c r="M39" s="13" t="s">
        <v>216</v>
      </c>
      <c r="N39" s="14" t="s">
        <v>24</v>
      </c>
      <c r="O39" s="22">
        <f>O38+$O$25*$O$23</f>
        <v>416.1470477</v>
      </c>
      <c r="Q39" s="13" t="s">
        <v>202</v>
      </c>
      <c r="R39" s="14" t="s">
        <v>45</v>
      </c>
      <c r="S39" s="129">
        <f>O29-273</f>
        <v>56.61344221</v>
      </c>
    </row>
    <row r="40">
      <c r="A40" s="9" t="s">
        <v>74</v>
      </c>
      <c r="B40" s="2"/>
      <c r="C40" s="3"/>
      <c r="E40" s="13" t="s">
        <v>43</v>
      </c>
      <c r="F40" s="14" t="s">
        <v>22</v>
      </c>
      <c r="G40" s="18">
        <f t="shared" si="6"/>
        <v>0.001</v>
      </c>
      <c r="M40" s="13" t="s">
        <v>212</v>
      </c>
      <c r="N40" s="14" t="s">
        <v>24</v>
      </c>
      <c r="O40" s="22">
        <f>O39+$O$25*$O$24</f>
        <v>433.2473235</v>
      </c>
      <c r="Q40" s="13" t="s">
        <v>198</v>
      </c>
      <c r="R40" s="14" t="s">
        <v>45</v>
      </c>
      <c r="S40" s="129">
        <f>O28-273</f>
        <v>56.40699685</v>
      </c>
    </row>
    <row r="41">
      <c r="A41" s="19" t="s">
        <v>35</v>
      </c>
      <c r="B41" s="16" t="s">
        <v>21</v>
      </c>
      <c r="C41" s="40">
        <f>average(2.1,3.5)</f>
        <v>2.8</v>
      </c>
      <c r="E41" s="13" t="s">
        <v>200</v>
      </c>
      <c r="F41" s="14" t="s">
        <v>52</v>
      </c>
      <c r="G41" s="18">
        <f>C9</f>
        <v>155.3</v>
      </c>
      <c r="I41" s="50" t="s">
        <v>5</v>
      </c>
      <c r="J41" s="7" t="s">
        <v>6</v>
      </c>
      <c r="K41" s="51" t="s">
        <v>7</v>
      </c>
      <c r="M41" s="13" t="s">
        <v>252</v>
      </c>
      <c r="N41" s="14" t="s">
        <v>24</v>
      </c>
      <c r="O41" s="22">
        <f>O40+$O$25*$O$23</f>
        <v>433.4537689</v>
      </c>
      <c r="Q41" s="13" t="s">
        <v>192</v>
      </c>
      <c r="R41" s="14" t="s">
        <v>45</v>
      </c>
      <c r="S41" s="129">
        <f>O27-273</f>
        <v>39.30672111</v>
      </c>
    </row>
    <row r="42">
      <c r="A42" s="13" t="s">
        <v>78</v>
      </c>
      <c r="B42" s="14" t="s">
        <v>21</v>
      </c>
      <c r="C42" s="30">
        <v>4.0</v>
      </c>
      <c r="E42" s="32" t="s">
        <v>406</v>
      </c>
      <c r="F42" s="33" t="s">
        <v>110</v>
      </c>
      <c r="G42" s="34">
        <f>LN((G39/G38))/(2*pi()*G40*G41)</f>
        <v>1.402239961</v>
      </c>
      <c r="I42" s="9" t="s">
        <v>258</v>
      </c>
      <c r="J42" s="2"/>
      <c r="K42" s="3"/>
      <c r="M42" s="13" t="s">
        <v>254</v>
      </c>
      <c r="N42" s="14" t="s">
        <v>24</v>
      </c>
      <c r="O42" s="22">
        <f>O41+$O$25*$O$24</f>
        <v>450.5540446</v>
      </c>
      <c r="Q42" s="13" t="s">
        <v>264</v>
      </c>
      <c r="R42" s="14" t="s">
        <v>45</v>
      </c>
      <c r="S42" s="129">
        <f>O26-273</f>
        <v>39.10027574</v>
      </c>
    </row>
    <row r="43">
      <c r="A43" s="13" t="s">
        <v>39</v>
      </c>
      <c r="B43" s="14" t="s">
        <v>21</v>
      </c>
      <c r="C43" s="30">
        <v>11.0</v>
      </c>
      <c r="E43" s="9" t="s">
        <v>421</v>
      </c>
      <c r="F43" s="2"/>
      <c r="G43" s="3"/>
      <c r="I43" s="13" t="s">
        <v>261</v>
      </c>
      <c r="J43" s="14" t="s">
        <v>24</v>
      </c>
      <c r="K43" s="18">
        <f t="shared" ref="K43:K44" si="7">C6+273</f>
        <v>503</v>
      </c>
      <c r="M43" s="13" t="s">
        <v>255</v>
      </c>
      <c r="N43" s="14" t="s">
        <v>24</v>
      </c>
      <c r="O43" s="22">
        <f>O42+$O$25*$O$23</f>
        <v>450.76049</v>
      </c>
      <c r="Q43" s="24" t="s">
        <v>142</v>
      </c>
      <c r="R43" s="25" t="s">
        <v>45</v>
      </c>
      <c r="S43" s="131">
        <f>C7</f>
        <v>22</v>
      </c>
    </row>
    <row r="44">
      <c r="A44" s="13" t="s">
        <v>85</v>
      </c>
      <c r="B44" s="14" t="s">
        <v>21</v>
      </c>
      <c r="C44" s="30">
        <v>1.0</v>
      </c>
      <c r="E44" s="19" t="s">
        <v>329</v>
      </c>
      <c r="F44" s="16" t="s">
        <v>19</v>
      </c>
      <c r="G44" s="61">
        <f>C14</f>
        <v>26.1</v>
      </c>
      <c r="I44" s="13" t="s">
        <v>111</v>
      </c>
      <c r="J44" s="14" t="s">
        <v>24</v>
      </c>
      <c r="K44" s="18">
        <f t="shared" si="7"/>
        <v>295</v>
      </c>
      <c r="M44" s="13" t="s">
        <v>259</v>
      </c>
      <c r="N44" s="14" t="s">
        <v>24</v>
      </c>
      <c r="O44" s="22">
        <f>O43+$O$25*$O$24</f>
        <v>467.8607657</v>
      </c>
    </row>
    <row r="45">
      <c r="A45" s="24" t="s">
        <v>90</v>
      </c>
      <c r="B45" s="25" t="s">
        <v>21</v>
      </c>
      <c r="C45" s="31">
        <v>1.0</v>
      </c>
      <c r="E45" s="13" t="s">
        <v>78</v>
      </c>
      <c r="F45" s="14" t="s">
        <v>22</v>
      </c>
      <c r="G45" s="18">
        <f t="shared" ref="G45:G46" si="8">C42/1000</f>
        <v>0.004</v>
      </c>
      <c r="I45" s="13" t="s">
        <v>120</v>
      </c>
      <c r="J45" s="14" t="s">
        <v>110</v>
      </c>
      <c r="K45" s="18">
        <f>K9</f>
        <v>3186.651575</v>
      </c>
      <c r="M45" s="13" t="s">
        <v>262</v>
      </c>
      <c r="N45" s="14" t="s">
        <v>24</v>
      </c>
      <c r="O45" s="22">
        <f>O44+$O$25*$O$23</f>
        <v>468.0672111</v>
      </c>
    </row>
    <row r="46">
      <c r="E46" s="13" t="s">
        <v>39</v>
      </c>
      <c r="F46" s="14" t="s">
        <v>22</v>
      </c>
      <c r="G46" s="18">
        <f t="shared" si="8"/>
        <v>0.011</v>
      </c>
      <c r="I46" s="46" t="s">
        <v>121</v>
      </c>
      <c r="J46" s="28" t="s">
        <v>113</v>
      </c>
      <c r="K46" s="59">
        <f>(K43-K44)/K45</f>
        <v>0.06527227566</v>
      </c>
      <c r="M46" s="13" t="s">
        <v>267</v>
      </c>
      <c r="N46" s="14" t="s">
        <v>24</v>
      </c>
      <c r="O46" s="22">
        <f>O45+$O$25*$O$24</f>
        <v>485.1674868</v>
      </c>
    </row>
    <row r="47">
      <c r="E47" s="13" t="s">
        <v>330</v>
      </c>
      <c r="F47" s="14" t="s">
        <v>28</v>
      </c>
      <c r="G47" s="18">
        <f>pi()*(G46^2-G45^2)</f>
        <v>0.0003298672286</v>
      </c>
      <c r="I47" s="9" t="s">
        <v>272</v>
      </c>
      <c r="J47" s="2"/>
      <c r="K47" s="3"/>
      <c r="M47" s="13" t="s">
        <v>269</v>
      </c>
      <c r="N47" s="14" t="s">
        <v>24</v>
      </c>
      <c r="O47" s="22">
        <f>O46+$O$25*$O$23</f>
        <v>485.3739322</v>
      </c>
    </row>
    <row r="48">
      <c r="E48" s="46" t="s">
        <v>400</v>
      </c>
      <c r="F48" s="25" t="s">
        <v>110</v>
      </c>
      <c r="G48" s="59">
        <f>1/(G44*G47)</f>
        <v>116.150296</v>
      </c>
      <c r="I48" s="13" t="s">
        <v>261</v>
      </c>
      <c r="J48" s="14" t="s">
        <v>24</v>
      </c>
      <c r="K48" s="18">
        <f t="shared" ref="K48:K49" si="9">C6+273</f>
        <v>503</v>
      </c>
      <c r="M48" s="24" t="s">
        <v>271</v>
      </c>
      <c r="N48" s="25" t="s">
        <v>24</v>
      </c>
      <c r="O48" s="79">
        <f>O47+$O$25*$O$24</f>
        <v>502.4742079</v>
      </c>
    </row>
    <row r="49">
      <c r="I49" s="13" t="s">
        <v>111</v>
      </c>
      <c r="J49" s="14" t="s">
        <v>24</v>
      </c>
      <c r="K49" s="18">
        <f t="shared" si="9"/>
        <v>295</v>
      </c>
    </row>
    <row r="50">
      <c r="I50" s="13" t="s">
        <v>247</v>
      </c>
      <c r="J50" s="14" t="s">
        <v>110</v>
      </c>
      <c r="K50" s="18">
        <f>K37</f>
        <v>1412.799532</v>
      </c>
      <c r="M50" s="9" t="s">
        <v>382</v>
      </c>
      <c r="N50" s="2"/>
      <c r="O50" s="3"/>
    </row>
    <row r="51">
      <c r="I51" s="46" t="s">
        <v>159</v>
      </c>
      <c r="J51" s="28" t="s">
        <v>113</v>
      </c>
      <c r="K51" s="59">
        <f>(K48-K49)/K50</f>
        <v>0.1472254168</v>
      </c>
      <c r="M51" s="13" t="s">
        <v>422</v>
      </c>
      <c r="N51" s="14" t="s">
        <v>24</v>
      </c>
      <c r="O51" s="18">
        <f>O48</f>
        <v>502.4742079</v>
      </c>
    </row>
    <row r="52">
      <c r="M52" s="13" t="s">
        <v>406</v>
      </c>
      <c r="N52" s="14" t="s">
        <v>110</v>
      </c>
      <c r="O52" s="18">
        <f>G42</f>
        <v>1.402239961</v>
      </c>
    </row>
    <row r="53">
      <c r="I53" s="1" t="s">
        <v>280</v>
      </c>
      <c r="J53" s="2"/>
      <c r="K53" s="3"/>
      <c r="M53" s="13" t="s">
        <v>159</v>
      </c>
      <c r="N53" s="14" t="s">
        <v>113</v>
      </c>
      <c r="O53" s="18">
        <f>K51</f>
        <v>0.1472254168</v>
      </c>
    </row>
    <row r="54">
      <c r="M54" s="46" t="s">
        <v>273</v>
      </c>
      <c r="N54" s="28" t="s">
        <v>24</v>
      </c>
      <c r="O54" s="59">
        <f>O51+O52*O53</f>
        <v>502.6806533</v>
      </c>
    </row>
    <row r="55">
      <c r="I55" s="9" t="s">
        <v>284</v>
      </c>
      <c r="J55" s="2"/>
      <c r="K55" s="3"/>
      <c r="M55" s="9" t="s">
        <v>287</v>
      </c>
      <c r="N55" s="2"/>
      <c r="O55" s="3"/>
    </row>
    <row r="56">
      <c r="I56" s="19" t="s">
        <v>147</v>
      </c>
      <c r="J56" s="16" t="s">
        <v>55</v>
      </c>
      <c r="K56" s="45">
        <f>C16</f>
        <v>1240</v>
      </c>
      <c r="M56" s="13" t="s">
        <v>299</v>
      </c>
      <c r="N56" s="14" t="s">
        <v>24</v>
      </c>
      <c r="O56" s="18">
        <f>O54</f>
        <v>502.6806533</v>
      </c>
    </row>
    <row r="57">
      <c r="I57" s="13" t="s">
        <v>286</v>
      </c>
      <c r="J57" s="14" t="s">
        <v>15</v>
      </c>
      <c r="K57" s="80">
        <f>C17/10^9</f>
        <v>0.000000015</v>
      </c>
      <c r="M57" s="13" t="s">
        <v>308</v>
      </c>
      <c r="N57" s="14" t="s">
        <v>110</v>
      </c>
      <c r="O57" s="18">
        <f>G36</f>
        <v>2.037867796</v>
      </c>
    </row>
    <row r="58">
      <c r="I58" s="46" t="s">
        <v>289</v>
      </c>
      <c r="J58" s="28" t="s">
        <v>290</v>
      </c>
      <c r="K58" s="81">
        <f>K57*K56</f>
        <v>0.0000186</v>
      </c>
      <c r="M58" s="13" t="s">
        <v>159</v>
      </c>
      <c r="N58" s="14" t="s">
        <v>113</v>
      </c>
      <c r="O58" s="18">
        <f>K51</f>
        <v>0.1472254168</v>
      </c>
    </row>
    <row r="59">
      <c r="I59" s="9" t="s">
        <v>127</v>
      </c>
      <c r="J59" s="2"/>
      <c r="K59" s="3"/>
      <c r="M59" s="46" t="s">
        <v>160</v>
      </c>
      <c r="N59" s="28" t="s">
        <v>24</v>
      </c>
      <c r="O59" s="59">
        <f>O56+O57*O58</f>
        <v>502.9806792</v>
      </c>
    </row>
    <row r="60">
      <c r="I60" s="13" t="s">
        <v>289</v>
      </c>
      <c r="J60" s="16" t="s">
        <v>290</v>
      </c>
      <c r="K60" s="36">
        <f>K58</f>
        <v>0.0000186</v>
      </c>
    </row>
    <row r="61">
      <c r="I61" s="13" t="s">
        <v>293</v>
      </c>
      <c r="J61" s="14" t="s">
        <v>157</v>
      </c>
      <c r="K61" s="18">
        <f>C18</f>
        <v>1800</v>
      </c>
    </row>
    <row r="62">
      <c r="I62" s="13" t="s">
        <v>295</v>
      </c>
      <c r="J62" s="14" t="s">
        <v>24</v>
      </c>
      <c r="K62" s="18">
        <f t="shared" ref="K62:K63" si="10">C19+273</f>
        <v>333</v>
      </c>
    </row>
    <row r="63">
      <c r="I63" s="13" t="s">
        <v>298</v>
      </c>
      <c r="J63" s="14" t="s">
        <v>24</v>
      </c>
      <c r="K63" s="18">
        <f t="shared" si="10"/>
        <v>503</v>
      </c>
    </row>
    <row r="64">
      <c r="I64" s="46" t="s">
        <v>301</v>
      </c>
      <c r="J64" s="28" t="s">
        <v>113</v>
      </c>
      <c r="K64" s="82">
        <f>K60*K61*(K63-K62)</f>
        <v>5.6916</v>
      </c>
    </row>
    <row r="66">
      <c r="I66" s="1" t="s">
        <v>302</v>
      </c>
      <c r="J66" s="2"/>
      <c r="K66" s="3"/>
    </row>
    <row r="68">
      <c r="I68" s="50" t="s">
        <v>5</v>
      </c>
      <c r="J68" s="7" t="s">
        <v>6</v>
      </c>
      <c r="K68" s="51" t="s">
        <v>7</v>
      </c>
    </row>
    <row r="69">
      <c r="I69" s="9" t="s">
        <v>258</v>
      </c>
      <c r="J69" s="2"/>
      <c r="K69" s="3"/>
    </row>
    <row r="70">
      <c r="I70" s="13" t="s">
        <v>121</v>
      </c>
      <c r="J70" s="14" t="s">
        <v>113</v>
      </c>
      <c r="K70" s="18">
        <f>K46</f>
        <v>0.06527227566</v>
      </c>
    </row>
    <row r="71">
      <c r="I71" s="13" t="s">
        <v>159</v>
      </c>
      <c r="J71" s="14" t="s">
        <v>113</v>
      </c>
      <c r="K71" s="18">
        <f>K51</f>
        <v>0.1472254168</v>
      </c>
    </row>
    <row r="72">
      <c r="I72" s="13" t="s">
        <v>301</v>
      </c>
      <c r="J72" s="14" t="s">
        <v>113</v>
      </c>
      <c r="K72" s="83">
        <f>K64</f>
        <v>5.6916</v>
      </c>
    </row>
    <row r="73">
      <c r="I73" s="46" t="s">
        <v>112</v>
      </c>
      <c r="J73" s="28" t="s">
        <v>113</v>
      </c>
      <c r="K73" s="59">
        <f>SUM(K70:K72)</f>
        <v>5.904097692</v>
      </c>
    </row>
  </sheetData>
  <mergeCells count="42">
    <mergeCell ref="A2:C2"/>
    <mergeCell ref="E2:G2"/>
    <mergeCell ref="I2:K2"/>
    <mergeCell ref="M2:O2"/>
    <mergeCell ref="Q2:S2"/>
    <mergeCell ref="A5:C5"/>
    <mergeCell ref="E5:G5"/>
    <mergeCell ref="Q5:S5"/>
    <mergeCell ref="Q10:R10"/>
    <mergeCell ref="Q13:S13"/>
    <mergeCell ref="M10:O10"/>
    <mergeCell ref="M16:O16"/>
    <mergeCell ref="M22:O22"/>
    <mergeCell ref="M50:O50"/>
    <mergeCell ref="M55:O55"/>
    <mergeCell ref="I5:K5"/>
    <mergeCell ref="M5:O5"/>
    <mergeCell ref="A8:C8"/>
    <mergeCell ref="I10:K10"/>
    <mergeCell ref="E11:G11"/>
    <mergeCell ref="A12:C12"/>
    <mergeCell ref="E17:G17"/>
    <mergeCell ref="A15:C15"/>
    <mergeCell ref="A22:C22"/>
    <mergeCell ref="E24:G24"/>
    <mergeCell ref="A25:C25"/>
    <mergeCell ref="A29:C29"/>
    <mergeCell ref="A30:C30"/>
    <mergeCell ref="E31:G31"/>
    <mergeCell ref="I47:K47"/>
    <mergeCell ref="I53:K53"/>
    <mergeCell ref="I55:K55"/>
    <mergeCell ref="I59:K59"/>
    <mergeCell ref="I66:K66"/>
    <mergeCell ref="I69:K69"/>
    <mergeCell ref="A33:C33"/>
    <mergeCell ref="A36:C36"/>
    <mergeCell ref="E37:G37"/>
    <mergeCell ref="I39:K39"/>
    <mergeCell ref="A40:C40"/>
    <mergeCell ref="I42:K42"/>
    <mergeCell ref="E43:G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5" max="5" width="69.5"/>
    <col customWidth="1" min="9" max="9" width="72.63"/>
    <col customWidth="1" min="13" max="13" width="38.88"/>
    <col customWidth="1" min="17" max="17" width="29.0"/>
  </cols>
  <sheetData>
    <row r="2">
      <c r="A2" s="1" t="s">
        <v>0</v>
      </c>
      <c r="B2" s="2"/>
      <c r="C2" s="3"/>
      <c r="E2" s="1" t="s">
        <v>99</v>
      </c>
      <c r="F2" s="2"/>
      <c r="G2" s="3"/>
      <c r="I2" s="1" t="s">
        <v>100</v>
      </c>
      <c r="J2" s="2"/>
      <c r="K2" s="3"/>
      <c r="M2" s="1" t="s">
        <v>101</v>
      </c>
      <c r="N2" s="2"/>
      <c r="O2" s="3"/>
      <c r="Q2" s="1" t="s">
        <v>102</v>
      </c>
      <c r="R2" s="2"/>
      <c r="S2" s="3"/>
    </row>
    <row r="4">
      <c r="A4" s="50" t="s">
        <v>5</v>
      </c>
      <c r="B4" s="7" t="s">
        <v>6</v>
      </c>
      <c r="C4" s="51" t="s">
        <v>7</v>
      </c>
      <c r="E4" s="50" t="s">
        <v>5</v>
      </c>
      <c r="F4" s="7" t="s">
        <v>6</v>
      </c>
      <c r="G4" s="51" t="s">
        <v>7</v>
      </c>
      <c r="I4" s="50" t="s">
        <v>5</v>
      </c>
      <c r="J4" s="7" t="s">
        <v>6</v>
      </c>
      <c r="K4" s="51" t="s">
        <v>7</v>
      </c>
      <c r="M4" s="50" t="s">
        <v>5</v>
      </c>
      <c r="N4" s="7" t="s">
        <v>6</v>
      </c>
      <c r="O4" s="51" t="s">
        <v>7</v>
      </c>
      <c r="Q4" s="50" t="s">
        <v>5</v>
      </c>
      <c r="R4" s="7" t="s">
        <v>6</v>
      </c>
      <c r="S4" s="51" t="s">
        <v>7</v>
      </c>
    </row>
    <row r="5">
      <c r="A5" s="52" t="s">
        <v>103</v>
      </c>
      <c r="C5" s="42"/>
      <c r="I5" s="9" t="s">
        <v>104</v>
      </c>
      <c r="J5" s="2"/>
      <c r="K5" s="3"/>
      <c r="M5" s="9" t="s">
        <v>105</v>
      </c>
      <c r="N5" s="2"/>
      <c r="O5" s="3"/>
      <c r="Q5" s="9" t="s">
        <v>106</v>
      </c>
      <c r="R5" s="2"/>
      <c r="S5" s="3"/>
    </row>
    <row r="6">
      <c r="A6" s="19" t="s">
        <v>107</v>
      </c>
      <c r="B6" s="16" t="s">
        <v>45</v>
      </c>
      <c r="C6" s="40">
        <v>230.0</v>
      </c>
      <c r="E6" s="53" t="s">
        <v>108</v>
      </c>
      <c r="F6" s="2"/>
      <c r="G6" s="3"/>
      <c r="I6" s="13" t="s">
        <v>109</v>
      </c>
      <c r="J6" s="14" t="s">
        <v>110</v>
      </c>
      <c r="K6" s="18">
        <f>G20</f>
        <v>5126.523559</v>
      </c>
      <c r="M6" s="13" t="s">
        <v>111</v>
      </c>
      <c r="N6" s="14" t="s">
        <v>24</v>
      </c>
      <c r="O6" s="18">
        <f>C7+273</f>
        <v>295</v>
      </c>
      <c r="Q6" s="19" t="s">
        <v>112</v>
      </c>
      <c r="R6" s="16" t="s">
        <v>113</v>
      </c>
      <c r="S6" s="54">
        <f>K73</f>
        <v>22.00753057</v>
      </c>
    </row>
    <row r="7">
      <c r="A7" s="24" t="s">
        <v>114</v>
      </c>
      <c r="B7" s="25" t="s">
        <v>45</v>
      </c>
      <c r="C7" s="31">
        <v>22.0</v>
      </c>
      <c r="I7" s="13" t="s">
        <v>115</v>
      </c>
      <c r="J7" s="14" t="s">
        <v>110</v>
      </c>
      <c r="K7" s="18">
        <f>G39</f>
        <v>0.06347457657</v>
      </c>
      <c r="M7" s="13" t="s">
        <v>116</v>
      </c>
      <c r="N7" s="14" t="s">
        <v>110</v>
      </c>
      <c r="O7" s="18">
        <f>G13</f>
        <v>5126.227122</v>
      </c>
      <c r="Q7" s="13" t="s">
        <v>117</v>
      </c>
      <c r="R7" s="14" t="s">
        <v>113</v>
      </c>
      <c r="S7" s="129">
        <f>K46</f>
        <v>0.04057280187</v>
      </c>
    </row>
    <row r="8">
      <c r="A8" s="52" t="s">
        <v>118</v>
      </c>
      <c r="C8" s="42"/>
      <c r="E8" s="10" t="s">
        <v>119</v>
      </c>
      <c r="F8" s="11"/>
      <c r="G8" s="12"/>
      <c r="I8" s="46" t="s">
        <v>120</v>
      </c>
      <c r="J8" s="28" t="s">
        <v>110</v>
      </c>
      <c r="K8" s="59">
        <f>SUM(K6:K7)</f>
        <v>5126.587034</v>
      </c>
      <c r="M8" s="13" t="s">
        <v>121</v>
      </c>
      <c r="N8" s="14" t="s">
        <v>113</v>
      </c>
      <c r="O8" s="18">
        <f>K46</f>
        <v>0.04057280187</v>
      </c>
      <c r="Q8" s="13" t="s">
        <v>122</v>
      </c>
      <c r="R8" s="14" t="s">
        <v>113</v>
      </c>
      <c r="S8" s="129">
        <f>K51</f>
        <v>16.27535776</v>
      </c>
    </row>
    <row r="9">
      <c r="A9" s="19" t="s">
        <v>123</v>
      </c>
      <c r="B9" s="16" t="s">
        <v>52</v>
      </c>
      <c r="C9" s="60">
        <v>155.3</v>
      </c>
      <c r="E9" s="19" t="s">
        <v>124</v>
      </c>
      <c r="F9" s="16" t="s">
        <v>19</v>
      </c>
      <c r="G9" s="61">
        <f>C14</f>
        <v>5.519500293</v>
      </c>
      <c r="I9" s="9" t="s">
        <v>125</v>
      </c>
      <c r="J9" s="2"/>
      <c r="K9" s="3"/>
      <c r="M9" s="46" t="s">
        <v>126</v>
      </c>
      <c r="N9" s="28" t="s">
        <v>24</v>
      </c>
      <c r="O9" s="59">
        <f>O6+O7*O8</f>
        <v>502.9853974</v>
      </c>
      <c r="Q9" s="13" t="s">
        <v>127</v>
      </c>
      <c r="R9" s="25" t="s">
        <v>113</v>
      </c>
      <c r="S9" s="62">
        <f>K64</f>
        <v>5.6916</v>
      </c>
    </row>
    <row r="10">
      <c r="A10" s="13" t="s">
        <v>128</v>
      </c>
      <c r="B10" s="14" t="s">
        <v>52</v>
      </c>
      <c r="C10" s="63">
        <v>112.1</v>
      </c>
      <c r="E10" s="13" t="s">
        <v>35</v>
      </c>
      <c r="F10" s="14" t="s">
        <v>22</v>
      </c>
      <c r="G10" s="18">
        <f t="shared" ref="G10:G11" si="1">C27/1000</f>
        <v>0.001</v>
      </c>
      <c r="I10" s="16" t="s">
        <v>129</v>
      </c>
      <c r="J10" s="16" t="s">
        <v>110</v>
      </c>
      <c r="K10" s="64">
        <f>G58</f>
        <v>0.04404012737</v>
      </c>
      <c r="M10" s="9" t="s">
        <v>130</v>
      </c>
      <c r="N10" s="2"/>
      <c r="O10" s="3"/>
      <c r="Q10" s="41" t="s">
        <v>131</v>
      </c>
      <c r="R10" s="3"/>
      <c r="S10" s="130">
        <f>S6-SUM(S7:S9)</f>
        <v>0</v>
      </c>
    </row>
    <row r="11">
      <c r="A11" s="24" t="s">
        <v>132</v>
      </c>
      <c r="B11" s="24" t="s">
        <v>52</v>
      </c>
      <c r="C11" s="66">
        <v>14.58</v>
      </c>
      <c r="E11" s="13" t="s">
        <v>39</v>
      </c>
      <c r="F11" s="14" t="s">
        <v>22</v>
      </c>
      <c r="G11" s="18">
        <f t="shared" si="1"/>
        <v>0.0035</v>
      </c>
      <c r="I11" s="14" t="s">
        <v>133</v>
      </c>
      <c r="J11" s="14" t="s">
        <v>110</v>
      </c>
      <c r="K11" s="22">
        <f>G77</f>
        <v>0.09116760082</v>
      </c>
      <c r="M11" s="13" t="s">
        <v>126</v>
      </c>
      <c r="N11" s="14" t="s">
        <v>24</v>
      </c>
      <c r="O11" s="18">
        <f>O9</f>
        <v>502.9853974</v>
      </c>
    </row>
    <row r="12">
      <c r="A12" s="10" t="s">
        <v>11</v>
      </c>
      <c r="B12" s="11"/>
      <c r="C12" s="12"/>
      <c r="E12" s="13" t="s">
        <v>134</v>
      </c>
      <c r="F12" s="14" t="s">
        <v>28</v>
      </c>
      <c r="G12" s="18">
        <f>pi()*(G11^2-G10^2)</f>
        <v>0.00003534291735</v>
      </c>
      <c r="I12" s="14" t="s">
        <v>292</v>
      </c>
      <c r="J12" s="14" t="s">
        <v>110</v>
      </c>
      <c r="K12" s="22">
        <f>G95</f>
        <v>2.03113475</v>
      </c>
      <c r="M12" s="13" t="s">
        <v>136</v>
      </c>
      <c r="N12" s="14" t="s">
        <v>110</v>
      </c>
      <c r="O12" s="18">
        <f>G19</f>
        <v>0.2964368406</v>
      </c>
      <c r="Q12" s="50" t="s">
        <v>5</v>
      </c>
      <c r="R12" s="7" t="s">
        <v>6</v>
      </c>
      <c r="S12" s="51" t="s">
        <v>7</v>
      </c>
    </row>
    <row r="13">
      <c r="A13" s="19" t="s">
        <v>18</v>
      </c>
      <c r="B13" s="16" t="s">
        <v>19</v>
      </c>
      <c r="C13" s="40">
        <f>'Natural and Forced Convection C'!S5</f>
        <v>4.504503146</v>
      </c>
      <c r="E13" s="46" t="s">
        <v>116</v>
      </c>
      <c r="F13" s="28" t="s">
        <v>110</v>
      </c>
      <c r="G13" s="59">
        <f>1/(G9*G12)</f>
        <v>5126.227122</v>
      </c>
      <c r="I13" s="14" t="s">
        <v>148</v>
      </c>
      <c r="J13" s="14" t="s">
        <v>110</v>
      </c>
      <c r="K13" s="22">
        <f t="shared" ref="K13:K14" si="2">G129</f>
        <v>0.8478850099</v>
      </c>
      <c r="M13" s="13" t="s">
        <v>121</v>
      </c>
      <c r="N13" s="14" t="s">
        <v>113</v>
      </c>
      <c r="O13" s="18">
        <f>K46</f>
        <v>0.04057280187</v>
      </c>
      <c r="Q13" s="9" t="s">
        <v>138</v>
      </c>
      <c r="R13" s="2"/>
      <c r="S13" s="3"/>
    </row>
    <row r="14">
      <c r="A14" s="13" t="s">
        <v>25</v>
      </c>
      <c r="B14" s="14" t="s">
        <v>19</v>
      </c>
      <c r="C14" s="30">
        <f>'Natural and Forced Convection C'!S6</f>
        <v>5.519500293</v>
      </c>
      <c r="E14" s="9" t="s">
        <v>139</v>
      </c>
      <c r="F14" s="2"/>
      <c r="G14" s="3"/>
      <c r="I14" s="14" t="s">
        <v>153</v>
      </c>
      <c r="J14" s="14" t="s">
        <v>110</v>
      </c>
      <c r="K14" s="22">
        <f t="shared" si="2"/>
        <v>0.0003655163591</v>
      </c>
      <c r="M14" s="46" t="s">
        <v>141</v>
      </c>
      <c r="N14" s="28" t="s">
        <v>24</v>
      </c>
      <c r="O14" s="59">
        <f>O11+O12*O13</f>
        <v>502.9974247</v>
      </c>
      <c r="Q14" s="19" t="s">
        <v>142</v>
      </c>
      <c r="R14" s="16" t="s">
        <v>45</v>
      </c>
      <c r="S14" s="67">
        <f>C7</f>
        <v>22</v>
      </c>
    </row>
    <row r="15">
      <c r="A15" s="24" t="s">
        <v>30</v>
      </c>
      <c r="B15" s="25" t="s">
        <v>19</v>
      </c>
      <c r="C15" s="31">
        <f>'Natural and Forced Convection C'!S7</f>
        <v>54.43080556</v>
      </c>
      <c r="E15" s="19" t="s">
        <v>35</v>
      </c>
      <c r="F15" s="16" t="s">
        <v>22</v>
      </c>
      <c r="G15" s="45">
        <f t="shared" ref="G15:G17" si="3">C27/1000</f>
        <v>0.001</v>
      </c>
      <c r="I15" s="14" t="s">
        <v>158</v>
      </c>
      <c r="J15" s="14" t="s">
        <v>110</v>
      </c>
      <c r="K15" s="22">
        <f t="shared" ref="K15:K16" si="4">G129</f>
        <v>0.8478850099</v>
      </c>
      <c r="Q15" s="13" t="s">
        <v>126</v>
      </c>
      <c r="R15" s="14" t="s">
        <v>45</v>
      </c>
      <c r="S15" s="68">
        <f>O9-273</f>
        <v>229.9853974</v>
      </c>
    </row>
    <row r="16">
      <c r="A16" s="9" t="s">
        <v>144</v>
      </c>
      <c r="B16" s="2"/>
      <c r="C16" s="3"/>
      <c r="E16" s="13" t="s">
        <v>39</v>
      </c>
      <c r="F16" s="14" t="s">
        <v>22</v>
      </c>
      <c r="G16" s="18">
        <f t="shared" si="3"/>
        <v>0.0035</v>
      </c>
      <c r="I16" s="14" t="s">
        <v>162</v>
      </c>
      <c r="J16" s="14" t="s">
        <v>110</v>
      </c>
      <c r="K16" s="22">
        <f t="shared" si="4"/>
        <v>0.0003655163591</v>
      </c>
      <c r="M16" s="9" t="s">
        <v>146</v>
      </c>
      <c r="N16" s="2"/>
      <c r="O16" s="3"/>
      <c r="Q16" s="13" t="s">
        <v>141</v>
      </c>
      <c r="R16" s="14" t="s">
        <v>45</v>
      </c>
      <c r="S16" s="68">
        <f>O14-273</f>
        <v>229.9974247</v>
      </c>
    </row>
    <row r="17">
      <c r="A17" s="19" t="s">
        <v>147</v>
      </c>
      <c r="B17" s="16" t="s">
        <v>55</v>
      </c>
      <c r="C17" s="40">
        <v>1240.0</v>
      </c>
      <c r="E17" s="13" t="s">
        <v>43</v>
      </c>
      <c r="F17" s="14" t="s">
        <v>22</v>
      </c>
      <c r="G17" s="18">
        <f t="shared" si="3"/>
        <v>0.006</v>
      </c>
      <c r="I17" s="14" t="s">
        <v>166</v>
      </c>
      <c r="J17" s="14" t="s">
        <v>110</v>
      </c>
      <c r="K17" s="22">
        <f t="shared" ref="K17:K18" si="5">G129</f>
        <v>0.8478850099</v>
      </c>
      <c r="M17" s="13" t="s">
        <v>111</v>
      </c>
      <c r="N17" s="14" t="s">
        <v>24</v>
      </c>
      <c r="O17" s="18">
        <f>C7+273</f>
        <v>295</v>
      </c>
      <c r="Q17" s="13" t="s">
        <v>149</v>
      </c>
      <c r="R17" s="14" t="s">
        <v>45</v>
      </c>
      <c r="S17" s="68">
        <f>C6</f>
        <v>230</v>
      </c>
    </row>
    <row r="18">
      <c r="A18" s="13" t="s">
        <v>150</v>
      </c>
      <c r="B18" s="14" t="s">
        <v>151</v>
      </c>
      <c r="C18" s="30">
        <v>15.0</v>
      </c>
      <c r="E18" s="13" t="s">
        <v>152</v>
      </c>
      <c r="F18" s="14" t="s">
        <v>52</v>
      </c>
      <c r="G18" s="18">
        <f>C10</f>
        <v>112.1</v>
      </c>
      <c r="I18" s="14" t="s">
        <v>168</v>
      </c>
      <c r="J18" s="14" t="s">
        <v>110</v>
      </c>
      <c r="K18" s="22">
        <f t="shared" si="5"/>
        <v>0.0003655163591</v>
      </c>
      <c r="M18" s="13" t="s">
        <v>154</v>
      </c>
      <c r="N18" s="14" t="s">
        <v>110</v>
      </c>
      <c r="O18" s="18">
        <f>K36</f>
        <v>0.0003655261291</v>
      </c>
      <c r="Q18" s="72" t="s">
        <v>155</v>
      </c>
      <c r="R18" s="72" t="s">
        <v>45</v>
      </c>
      <c r="S18" s="68">
        <f>O66-273</f>
        <v>229.2832312</v>
      </c>
    </row>
    <row r="19">
      <c r="A19" s="13" t="s">
        <v>156</v>
      </c>
      <c r="B19" s="14" t="s">
        <v>157</v>
      </c>
      <c r="C19" s="30">
        <v>1800.0</v>
      </c>
      <c r="E19" s="46" t="s">
        <v>136</v>
      </c>
      <c r="F19" s="28" t="s">
        <v>110</v>
      </c>
      <c r="G19" s="47">
        <f>LN((G16/G15))/(2*pi()*G17*G18)</f>
        <v>0.2964368406</v>
      </c>
      <c r="I19" s="14" t="s">
        <v>172</v>
      </c>
      <c r="J19" s="14" t="s">
        <v>110</v>
      </c>
      <c r="K19" s="22">
        <f t="shared" ref="K19:K20" si="6">G129</f>
        <v>0.8478850099</v>
      </c>
      <c r="M19" s="13" t="s">
        <v>159</v>
      </c>
      <c r="N19" s="14" t="s">
        <v>113</v>
      </c>
      <c r="O19" s="18">
        <f>K51</f>
        <v>16.27535776</v>
      </c>
      <c r="Q19" s="13" t="s">
        <v>160</v>
      </c>
      <c r="R19" s="14" t="s">
        <v>45</v>
      </c>
      <c r="S19" s="68">
        <f>O61-273</f>
        <v>227.7994459</v>
      </c>
    </row>
    <row r="20">
      <c r="A20" s="13" t="s">
        <v>161</v>
      </c>
      <c r="B20" s="14" t="s">
        <v>45</v>
      </c>
      <c r="C20" s="30">
        <v>60.0</v>
      </c>
      <c r="E20" s="69" t="s">
        <v>109</v>
      </c>
      <c r="F20" s="3"/>
      <c r="G20" s="70">
        <f>G13+G19</f>
        <v>5126.523559</v>
      </c>
      <c r="I20" s="14" t="s">
        <v>176</v>
      </c>
      <c r="J20" s="14" t="s">
        <v>110</v>
      </c>
      <c r="K20" s="22">
        <f t="shared" si="6"/>
        <v>0.0003655163591</v>
      </c>
      <c r="M20" s="46" t="s">
        <v>163</v>
      </c>
      <c r="N20" s="28" t="s">
        <v>24</v>
      </c>
      <c r="O20" s="59">
        <f>O17+O18*O19</f>
        <v>295.0059491</v>
      </c>
      <c r="Q20" s="13" t="s">
        <v>178</v>
      </c>
      <c r="R20" s="14" t="s">
        <v>45</v>
      </c>
      <c r="S20" s="68">
        <f>O56-273</f>
        <v>194.7420011</v>
      </c>
    </row>
    <row r="21">
      <c r="A21" s="24" t="s">
        <v>165</v>
      </c>
      <c r="B21" s="25" t="s">
        <v>45</v>
      </c>
      <c r="C21" s="31">
        <v>230.0</v>
      </c>
      <c r="I21" s="14" t="s">
        <v>179</v>
      </c>
      <c r="J21" s="14" t="s">
        <v>110</v>
      </c>
      <c r="K21" s="22">
        <f t="shared" ref="K21:K22" si="7">G129</f>
        <v>0.8478850099</v>
      </c>
      <c r="Q21" s="13" t="s">
        <v>181</v>
      </c>
      <c r="R21" s="14" t="s">
        <v>45</v>
      </c>
      <c r="S21" s="68">
        <f>O50-273</f>
        <v>180.9423693</v>
      </c>
    </row>
    <row r="22">
      <c r="E22" s="53" t="s">
        <v>115</v>
      </c>
      <c r="F22" s="2"/>
      <c r="G22" s="3"/>
      <c r="I22" s="14" t="s">
        <v>183</v>
      </c>
      <c r="J22" s="14" t="s">
        <v>110</v>
      </c>
      <c r="K22" s="22">
        <f t="shared" si="7"/>
        <v>0.0003655163591</v>
      </c>
      <c r="M22" s="9" t="s">
        <v>169</v>
      </c>
      <c r="N22" s="2"/>
      <c r="O22" s="3"/>
      <c r="Q22" s="13" t="s">
        <v>184</v>
      </c>
      <c r="R22" s="14" t="s">
        <v>45</v>
      </c>
      <c r="S22" s="68">
        <f>O49-273</f>
        <v>180.9364203</v>
      </c>
    </row>
    <row r="23">
      <c r="A23" s="1" t="s">
        <v>171</v>
      </c>
      <c r="B23" s="2"/>
      <c r="C23" s="3"/>
      <c r="I23" s="14" t="s">
        <v>186</v>
      </c>
      <c r="J23" s="14" t="s">
        <v>110</v>
      </c>
      <c r="K23" s="22">
        <f t="shared" ref="K23:K24" si="8">G129</f>
        <v>0.8478850099</v>
      </c>
      <c r="M23" s="19" t="s">
        <v>173</v>
      </c>
      <c r="N23" s="16" t="s">
        <v>110</v>
      </c>
      <c r="O23" s="45">
        <f t="shared" ref="O23:O24" si="9">K35</f>
        <v>0.9348266406</v>
      </c>
      <c r="Q23" s="13" t="s">
        <v>187</v>
      </c>
      <c r="R23" s="14" t="s">
        <v>45</v>
      </c>
      <c r="S23" s="68">
        <f>O48-273</f>
        <v>167.1367885</v>
      </c>
    </row>
    <row r="24">
      <c r="E24" s="9" t="s">
        <v>175</v>
      </c>
      <c r="F24" s="2"/>
      <c r="G24" s="3"/>
      <c r="I24" s="14" t="s">
        <v>188</v>
      </c>
      <c r="J24" s="14" t="s">
        <v>110</v>
      </c>
      <c r="K24" s="22">
        <f t="shared" si="8"/>
        <v>0.0003655163591</v>
      </c>
      <c r="M24" s="13" t="s">
        <v>177</v>
      </c>
      <c r="N24" s="14" t="s">
        <v>110</v>
      </c>
      <c r="O24" s="18">
        <f t="shared" si="9"/>
        <v>0.0003655261291</v>
      </c>
      <c r="Q24" s="13" t="s">
        <v>189</v>
      </c>
      <c r="R24" s="14" t="s">
        <v>45</v>
      </c>
      <c r="S24" s="68">
        <f>O47-273</f>
        <v>167.1308396</v>
      </c>
    </row>
    <row r="25">
      <c r="A25" s="50" t="s">
        <v>5</v>
      </c>
      <c r="B25" s="7" t="s">
        <v>6</v>
      </c>
      <c r="C25" s="51" t="s">
        <v>7</v>
      </c>
      <c r="E25" s="19" t="s">
        <v>35</v>
      </c>
      <c r="F25" s="16" t="s">
        <v>22</v>
      </c>
      <c r="G25" s="45">
        <f t="shared" ref="G25:G26" si="10">C31/1000</f>
        <v>0.001</v>
      </c>
      <c r="I25" s="14" t="s">
        <v>191</v>
      </c>
      <c r="J25" s="14" t="s">
        <v>110</v>
      </c>
      <c r="K25" s="22">
        <f>G129</f>
        <v>0.8478850099</v>
      </c>
      <c r="M25" s="13" t="s">
        <v>180</v>
      </c>
      <c r="N25" s="14" t="s">
        <v>110</v>
      </c>
      <c r="O25" s="18">
        <f>K25</f>
        <v>0.8478850099</v>
      </c>
      <c r="Q25" s="13" t="s">
        <v>194</v>
      </c>
      <c r="R25" s="14" t="s">
        <v>45</v>
      </c>
      <c r="S25" s="68">
        <f>O46-273</f>
        <v>153.3312077</v>
      </c>
    </row>
    <row r="26">
      <c r="A26" s="9" t="s">
        <v>182</v>
      </c>
      <c r="B26" s="2"/>
      <c r="C26" s="3"/>
      <c r="E26" s="13" t="s">
        <v>39</v>
      </c>
      <c r="F26" s="14" t="s">
        <v>22</v>
      </c>
      <c r="G26" s="18">
        <f t="shared" si="10"/>
        <v>0.003</v>
      </c>
      <c r="I26" s="14" t="s">
        <v>197</v>
      </c>
      <c r="J26" s="14" t="s">
        <v>110</v>
      </c>
      <c r="K26" s="22">
        <f>G132</f>
        <v>0.0003655261291</v>
      </c>
      <c r="M26" s="13" t="s">
        <v>177</v>
      </c>
      <c r="N26" s="14" t="s">
        <v>110</v>
      </c>
      <c r="O26" s="18">
        <f>K24</f>
        <v>0.0003655163591</v>
      </c>
      <c r="Q26" s="13" t="s">
        <v>199</v>
      </c>
      <c r="R26" s="14" t="s">
        <v>45</v>
      </c>
      <c r="S26" s="68">
        <f>O45-273</f>
        <v>153.3252588</v>
      </c>
    </row>
    <row r="27">
      <c r="A27" s="19" t="s">
        <v>35</v>
      </c>
      <c r="B27" s="16" t="s">
        <v>21</v>
      </c>
      <c r="C27" s="40">
        <v>1.0</v>
      </c>
      <c r="E27" s="13" t="s">
        <v>185</v>
      </c>
      <c r="F27" s="14" t="s">
        <v>22</v>
      </c>
      <c r="G27" s="18">
        <f>C37/1000</f>
        <v>0.004</v>
      </c>
      <c r="I27" s="14" t="s">
        <v>201</v>
      </c>
      <c r="J27" s="14" t="s">
        <v>110</v>
      </c>
      <c r="K27" s="22">
        <f t="shared" ref="K27:K28" si="11">G131</f>
        <v>0.9348266406</v>
      </c>
      <c r="M27" s="24" t="s">
        <v>159</v>
      </c>
      <c r="N27" s="25" t="s">
        <v>113</v>
      </c>
      <c r="O27" s="71">
        <f>K51</f>
        <v>16.27535776</v>
      </c>
      <c r="Q27" s="13" t="s">
        <v>204</v>
      </c>
      <c r="R27" s="14" t="s">
        <v>45</v>
      </c>
      <c r="S27" s="68">
        <f>O44-273</f>
        <v>139.5256269</v>
      </c>
    </row>
    <row r="28">
      <c r="A28" s="13" t="s">
        <v>39</v>
      </c>
      <c r="B28" s="14" t="s">
        <v>21</v>
      </c>
      <c r="C28" s="30">
        <v>3.5</v>
      </c>
      <c r="E28" s="13" t="s">
        <v>152</v>
      </c>
      <c r="F28" s="14" t="s">
        <v>52</v>
      </c>
      <c r="G28" s="18">
        <f>C10</f>
        <v>112.1</v>
      </c>
      <c r="I28" s="14" t="s">
        <v>205</v>
      </c>
      <c r="J28" s="14" t="s">
        <v>110</v>
      </c>
      <c r="K28" s="22">
        <f t="shared" si="11"/>
        <v>0.0003655261291</v>
      </c>
      <c r="M28" s="19" t="s">
        <v>163</v>
      </c>
      <c r="N28" s="16" t="s">
        <v>24</v>
      </c>
      <c r="O28" s="64">
        <f>O20</f>
        <v>295.0059491</v>
      </c>
      <c r="Q28" s="13" t="s">
        <v>207</v>
      </c>
      <c r="R28" s="14" t="s">
        <v>45</v>
      </c>
      <c r="S28" s="68">
        <f>O43-273</f>
        <v>139.519678</v>
      </c>
    </row>
    <row r="29">
      <c r="A29" s="24" t="s">
        <v>43</v>
      </c>
      <c r="B29" s="25" t="s">
        <v>21</v>
      </c>
      <c r="C29" s="31">
        <v>6.0</v>
      </c>
      <c r="E29" s="32" t="s">
        <v>190</v>
      </c>
      <c r="F29" s="33" t="s">
        <v>110</v>
      </c>
      <c r="G29" s="34">
        <f>LN((G26/G25))/(2*pi()*G27*G28)</f>
        <v>0.3899410711</v>
      </c>
      <c r="I29" s="14" t="s">
        <v>209</v>
      </c>
      <c r="J29" s="14" t="s">
        <v>110</v>
      </c>
      <c r="K29" s="22">
        <f t="shared" ref="K29:K30" si="12">G131</f>
        <v>0.9348266406</v>
      </c>
      <c r="M29" s="13" t="s">
        <v>192</v>
      </c>
      <c r="N29" s="14" t="s">
        <v>24</v>
      </c>
      <c r="O29" s="22">
        <f>O28+$O$27*$O$23</f>
        <v>310.2205871</v>
      </c>
      <c r="P29" s="72" t="s">
        <v>193</v>
      </c>
      <c r="Q29" s="13" t="s">
        <v>212</v>
      </c>
      <c r="R29" s="14" t="s">
        <v>45</v>
      </c>
      <c r="S29" s="68">
        <f>O42-273</f>
        <v>125.7200461</v>
      </c>
    </row>
    <row r="30">
      <c r="A30" s="73" t="s">
        <v>195</v>
      </c>
      <c r="B30" s="2"/>
      <c r="C30" s="3"/>
      <c r="E30" s="9" t="s">
        <v>196</v>
      </c>
      <c r="F30" s="2"/>
      <c r="G30" s="3"/>
      <c r="I30" s="14" t="s">
        <v>214</v>
      </c>
      <c r="J30" s="14" t="s">
        <v>110</v>
      </c>
      <c r="K30" s="22">
        <f t="shared" si="12"/>
        <v>0.0003655261291</v>
      </c>
      <c r="M30" s="13" t="s">
        <v>198</v>
      </c>
      <c r="N30" s="14" t="s">
        <v>24</v>
      </c>
      <c r="O30" s="22">
        <f>O29+$O$27*$O$24</f>
        <v>310.2265362</v>
      </c>
      <c r="Q30" s="13" t="s">
        <v>216</v>
      </c>
      <c r="R30" s="14" t="s">
        <v>45</v>
      </c>
      <c r="S30" s="68">
        <f>O41-273</f>
        <v>125.7140972</v>
      </c>
    </row>
    <row r="31">
      <c r="A31" s="16" t="s">
        <v>35</v>
      </c>
      <c r="B31" s="16" t="s">
        <v>21</v>
      </c>
      <c r="C31" s="40">
        <v>1.0</v>
      </c>
      <c r="E31" s="13" t="s">
        <v>200</v>
      </c>
      <c r="F31" s="14" t="s">
        <v>52</v>
      </c>
      <c r="G31" s="45">
        <f>C9</f>
        <v>155.3</v>
      </c>
      <c r="I31" s="14" t="s">
        <v>221</v>
      </c>
      <c r="J31" s="14" t="s">
        <v>110</v>
      </c>
      <c r="K31" s="22">
        <f t="shared" ref="K31:K32" si="13">G131</f>
        <v>0.9348266406</v>
      </c>
      <c r="M31" s="13" t="s">
        <v>202</v>
      </c>
      <c r="N31" s="14" t="s">
        <v>24</v>
      </c>
      <c r="O31" s="22">
        <f>O30+$O$27*$O$23</f>
        <v>325.4411742</v>
      </c>
      <c r="P31" s="72" t="s">
        <v>203</v>
      </c>
      <c r="Q31" s="13" t="s">
        <v>224</v>
      </c>
      <c r="R31" s="14" t="s">
        <v>45</v>
      </c>
      <c r="S31" s="68">
        <f>O40-273</f>
        <v>111.9144653</v>
      </c>
    </row>
    <row r="32">
      <c r="A32" s="14" t="s">
        <v>39</v>
      </c>
      <c r="B32" s="14" t="s">
        <v>21</v>
      </c>
      <c r="C32" s="30">
        <v>3.0</v>
      </c>
      <c r="E32" s="13" t="s">
        <v>185</v>
      </c>
      <c r="F32" s="14" t="s">
        <v>22</v>
      </c>
      <c r="G32" s="18">
        <f>C37/1000</f>
        <v>0.004</v>
      </c>
      <c r="I32" s="14" t="s">
        <v>230</v>
      </c>
      <c r="J32" s="14" t="s">
        <v>110</v>
      </c>
      <c r="K32" s="22">
        <f t="shared" si="13"/>
        <v>0.0003655261291</v>
      </c>
      <c r="M32" s="13" t="s">
        <v>206</v>
      </c>
      <c r="N32" s="14" t="s">
        <v>24</v>
      </c>
      <c r="O32" s="22">
        <f>O31+$O$27*$O$24</f>
        <v>325.4471233</v>
      </c>
      <c r="Q32" s="13" t="s">
        <v>232</v>
      </c>
      <c r="R32" s="14" t="s">
        <v>45</v>
      </c>
      <c r="S32" s="68">
        <f>O39-273</f>
        <v>111.9085164</v>
      </c>
    </row>
    <row r="33">
      <c r="A33" s="9" t="s">
        <v>208</v>
      </c>
      <c r="B33" s="2"/>
      <c r="C33" s="3"/>
      <c r="E33" s="13" t="s">
        <v>65</v>
      </c>
      <c r="F33" s="14" t="s">
        <v>22</v>
      </c>
      <c r="G33" s="18">
        <f t="shared" ref="G33:G34" si="14">C35/1000</f>
        <v>0.023</v>
      </c>
      <c r="I33" s="14" t="s">
        <v>235</v>
      </c>
      <c r="J33" s="14" t="s">
        <v>110</v>
      </c>
      <c r="K33" s="22">
        <f t="shared" ref="K33:K34" si="15">G131</f>
        <v>0.9348266406</v>
      </c>
      <c r="M33" s="13" t="s">
        <v>210</v>
      </c>
      <c r="N33" s="14" t="s">
        <v>24</v>
      </c>
      <c r="O33" s="22">
        <f>O32+$O$27*$O$23</f>
        <v>340.6617613</v>
      </c>
      <c r="P33" s="72" t="s">
        <v>211</v>
      </c>
      <c r="Q33" s="13" t="s">
        <v>238</v>
      </c>
      <c r="R33" s="14" t="s">
        <v>45</v>
      </c>
      <c r="S33" s="68">
        <f>O38-273</f>
        <v>98.10888453</v>
      </c>
    </row>
    <row r="34">
      <c r="A34" s="74" t="s">
        <v>213</v>
      </c>
      <c r="B34" s="11"/>
      <c r="C34" s="12"/>
      <c r="E34" s="13" t="s">
        <v>68</v>
      </c>
      <c r="F34" s="14" t="s">
        <v>22</v>
      </c>
      <c r="G34" s="18">
        <f t="shared" si="14"/>
        <v>0.016</v>
      </c>
      <c r="I34" s="14" t="s">
        <v>241</v>
      </c>
      <c r="J34" s="14" t="s">
        <v>110</v>
      </c>
      <c r="K34" s="22">
        <f t="shared" si="15"/>
        <v>0.0003655261291</v>
      </c>
      <c r="M34" s="13" t="s">
        <v>215</v>
      </c>
      <c r="N34" s="14" t="s">
        <v>24</v>
      </c>
      <c r="O34" s="22">
        <f>O33+$O$27*$O$24</f>
        <v>340.6677103</v>
      </c>
      <c r="Q34" s="13" t="s">
        <v>236</v>
      </c>
      <c r="R34" s="14" t="s">
        <v>45</v>
      </c>
      <c r="S34" s="68">
        <f>O37-273</f>
        <v>98.10293546</v>
      </c>
    </row>
    <row r="35">
      <c r="A35" s="19" t="s">
        <v>65</v>
      </c>
      <c r="B35" s="16" t="s">
        <v>21</v>
      </c>
      <c r="C35" s="40">
        <v>23.0</v>
      </c>
      <c r="E35" s="13" t="s">
        <v>220</v>
      </c>
      <c r="F35" s="14" t="s">
        <v>28</v>
      </c>
      <c r="G35" s="18">
        <f>G34*G33</f>
        <v>0.000368</v>
      </c>
      <c r="I35" s="14" t="s">
        <v>243</v>
      </c>
      <c r="J35" s="14" t="s">
        <v>110</v>
      </c>
      <c r="K35" s="22">
        <f t="shared" ref="K35:K36" si="16">G131</f>
        <v>0.9348266406</v>
      </c>
      <c r="M35" s="13" t="s">
        <v>222</v>
      </c>
      <c r="N35" s="14" t="s">
        <v>24</v>
      </c>
      <c r="O35" s="22">
        <f>O34+$O$27*$O$23</f>
        <v>355.8823484</v>
      </c>
      <c r="P35" s="72" t="s">
        <v>223</v>
      </c>
      <c r="Q35" s="13" t="s">
        <v>231</v>
      </c>
      <c r="R35" s="14" t="s">
        <v>45</v>
      </c>
      <c r="S35" s="68">
        <f>O36-273</f>
        <v>82.88829743</v>
      </c>
    </row>
    <row r="36">
      <c r="A36" s="13" t="s">
        <v>68</v>
      </c>
      <c r="B36" s="14" t="s">
        <v>21</v>
      </c>
      <c r="C36" s="30">
        <v>16.0</v>
      </c>
      <c r="E36" s="13" t="s">
        <v>229</v>
      </c>
      <c r="F36" s="14" t="s">
        <v>28</v>
      </c>
      <c r="G36" s="18">
        <f>pi()*(G26)^2</f>
        <v>0.00002827433388</v>
      </c>
      <c r="I36" s="14" t="s">
        <v>246</v>
      </c>
      <c r="J36" s="14" t="s">
        <v>110</v>
      </c>
      <c r="K36" s="22">
        <f t="shared" si="16"/>
        <v>0.0003655261291</v>
      </c>
      <c r="M36" s="13" t="s">
        <v>231</v>
      </c>
      <c r="N36" s="14" t="s">
        <v>24</v>
      </c>
      <c r="O36" s="22">
        <f>O35+$O$27*$O$24</f>
        <v>355.8882974</v>
      </c>
      <c r="Q36" s="13" t="s">
        <v>222</v>
      </c>
      <c r="R36" s="14" t="s">
        <v>45</v>
      </c>
      <c r="S36" s="68">
        <f>O35-273</f>
        <v>82.88234837</v>
      </c>
    </row>
    <row r="37">
      <c r="A37" s="14" t="s">
        <v>233</v>
      </c>
      <c r="B37" s="14" t="s">
        <v>21</v>
      </c>
      <c r="C37" s="30">
        <v>4.0</v>
      </c>
      <c r="E37" s="13" t="s">
        <v>234</v>
      </c>
      <c r="F37" s="14" t="s">
        <v>28</v>
      </c>
      <c r="G37" s="18">
        <f>G35-G36</f>
        <v>0.0003397256661</v>
      </c>
      <c r="I37" s="28" t="s">
        <v>247</v>
      </c>
      <c r="J37" s="28" t="s">
        <v>110</v>
      </c>
      <c r="K37" s="28">
        <f>SUM(K10:K36)</f>
        <v>12.78005701</v>
      </c>
      <c r="M37" s="13" t="s">
        <v>236</v>
      </c>
      <c r="N37" s="14" t="s">
        <v>24</v>
      </c>
      <c r="O37" s="22">
        <f>O36+$O$27*$O$23</f>
        <v>371.1029355</v>
      </c>
      <c r="P37" s="72" t="s">
        <v>237</v>
      </c>
      <c r="Q37" s="13" t="s">
        <v>215</v>
      </c>
      <c r="R37" s="14" t="s">
        <v>45</v>
      </c>
      <c r="S37" s="68">
        <f>O34-273</f>
        <v>67.66771034</v>
      </c>
    </row>
    <row r="38">
      <c r="A38" s="14" t="s">
        <v>239</v>
      </c>
      <c r="B38" s="14" t="s">
        <v>21</v>
      </c>
      <c r="C38" s="30">
        <v>2.5</v>
      </c>
      <c r="E38" s="46" t="s">
        <v>240</v>
      </c>
      <c r="F38" s="28" t="s">
        <v>110</v>
      </c>
      <c r="G38" s="47">
        <f>G32/(G31*G37)</f>
        <v>0.07581587939</v>
      </c>
      <c r="M38" s="13" t="s">
        <v>238</v>
      </c>
      <c r="N38" s="14" t="s">
        <v>24</v>
      </c>
      <c r="O38" s="22">
        <f>O37+$O$27*$O$24</f>
        <v>371.1088845</v>
      </c>
      <c r="Q38" s="13" t="s">
        <v>210</v>
      </c>
      <c r="R38" s="14" t="s">
        <v>45</v>
      </c>
      <c r="S38" s="68">
        <f>O33-273</f>
        <v>67.66176127</v>
      </c>
    </row>
    <row r="39">
      <c r="A39" s="25" t="s">
        <v>242</v>
      </c>
      <c r="B39" s="76" t="s">
        <v>21</v>
      </c>
      <c r="C39" s="31">
        <v>5.0</v>
      </c>
      <c r="E39" s="69" t="s">
        <v>115</v>
      </c>
      <c r="F39" s="3"/>
      <c r="G39" s="70">
        <f>((1/G29)+(1/G38))^(-1)</f>
        <v>0.06347457657</v>
      </c>
      <c r="I39" s="1" t="s">
        <v>251</v>
      </c>
      <c r="J39" s="2"/>
      <c r="K39" s="3"/>
      <c r="M39" s="13" t="s">
        <v>232</v>
      </c>
      <c r="N39" s="14" t="s">
        <v>24</v>
      </c>
      <c r="O39" s="22">
        <f>O38+$O$27*$O$25</f>
        <v>384.9085164</v>
      </c>
      <c r="P39" s="72" t="s">
        <v>244</v>
      </c>
      <c r="Q39" s="13" t="s">
        <v>206</v>
      </c>
      <c r="R39" s="14" t="s">
        <v>45</v>
      </c>
      <c r="S39" s="68">
        <f>O32-273</f>
        <v>52.44712325</v>
      </c>
    </row>
    <row r="40">
      <c r="A40" s="73" t="s">
        <v>245</v>
      </c>
      <c r="B40" s="2"/>
      <c r="C40" s="3"/>
      <c r="M40" s="13" t="s">
        <v>224</v>
      </c>
      <c r="N40" s="14" t="s">
        <v>24</v>
      </c>
      <c r="O40" s="22">
        <f>O39+$O$27*$O$26</f>
        <v>384.9144653</v>
      </c>
      <c r="Q40" s="13" t="s">
        <v>202</v>
      </c>
      <c r="R40" s="14" t="s">
        <v>45</v>
      </c>
      <c r="S40" s="68">
        <f>O31-273</f>
        <v>52.44117418</v>
      </c>
    </row>
    <row r="41">
      <c r="A41" s="16" t="s">
        <v>35</v>
      </c>
      <c r="B41" s="16" t="s">
        <v>21</v>
      </c>
      <c r="C41" s="40">
        <v>1.0</v>
      </c>
      <c r="E41" s="53" t="s">
        <v>129</v>
      </c>
      <c r="F41" s="2"/>
      <c r="G41" s="3"/>
      <c r="I41" s="50" t="s">
        <v>5</v>
      </c>
      <c r="J41" s="7" t="s">
        <v>6</v>
      </c>
      <c r="K41" s="51" t="s">
        <v>7</v>
      </c>
      <c r="M41" s="13" t="s">
        <v>216</v>
      </c>
      <c r="N41" s="14" t="s">
        <v>24</v>
      </c>
      <c r="O41" s="22">
        <f>O40+$O$27*$O$25</f>
        <v>398.7140972</v>
      </c>
      <c r="P41" s="72" t="s">
        <v>248</v>
      </c>
      <c r="Q41" s="13" t="s">
        <v>198</v>
      </c>
      <c r="R41" s="14" t="s">
        <v>45</v>
      </c>
      <c r="S41" s="68">
        <f>O30-273</f>
        <v>37.22653616</v>
      </c>
    </row>
    <row r="42">
      <c r="A42" s="14" t="s">
        <v>39</v>
      </c>
      <c r="B42" s="14" t="s">
        <v>21</v>
      </c>
      <c r="C42" s="30">
        <v>3.0</v>
      </c>
      <c r="I42" s="9" t="s">
        <v>258</v>
      </c>
      <c r="J42" s="2"/>
      <c r="K42" s="3"/>
      <c r="M42" s="13" t="s">
        <v>212</v>
      </c>
      <c r="N42" s="14" t="s">
        <v>24</v>
      </c>
      <c r="O42" s="22">
        <f>O41+$O$27*$O$26</f>
        <v>398.7200461</v>
      </c>
      <c r="Q42" s="13" t="s">
        <v>192</v>
      </c>
      <c r="R42" s="14" t="s">
        <v>45</v>
      </c>
      <c r="S42" s="68">
        <f>O29-273</f>
        <v>37.22058709</v>
      </c>
    </row>
    <row r="43">
      <c r="A43" s="77" t="s">
        <v>249</v>
      </c>
      <c r="B43" s="11"/>
      <c r="C43" s="12"/>
      <c r="E43" s="9" t="s">
        <v>250</v>
      </c>
      <c r="F43" s="2"/>
      <c r="G43" s="3"/>
      <c r="I43" s="13" t="s">
        <v>261</v>
      </c>
      <c r="J43" s="14" t="s">
        <v>24</v>
      </c>
      <c r="K43" s="18">
        <f t="shared" ref="K43:K44" si="17">C6+273</f>
        <v>503</v>
      </c>
      <c r="M43" s="13" t="s">
        <v>252</v>
      </c>
      <c r="N43" s="14" t="s">
        <v>24</v>
      </c>
      <c r="O43" s="22">
        <f>O42+$O$27*$O$25</f>
        <v>412.519678</v>
      </c>
      <c r="P43" s="72" t="s">
        <v>253</v>
      </c>
      <c r="Q43" s="13" t="s">
        <v>264</v>
      </c>
      <c r="R43" s="14" t="s">
        <v>45</v>
      </c>
      <c r="S43" s="68">
        <f>O28-273</f>
        <v>22.00594907</v>
      </c>
    </row>
    <row r="44">
      <c r="A44" s="19" t="s">
        <v>35</v>
      </c>
      <c r="B44" s="16" t="s">
        <v>21</v>
      </c>
      <c r="C44" s="40">
        <v>1.0</v>
      </c>
      <c r="E44" s="19" t="s">
        <v>35</v>
      </c>
      <c r="F44" s="16" t="s">
        <v>22</v>
      </c>
      <c r="G44" s="45">
        <f t="shared" ref="G44:G45" si="18">C31/1000</f>
        <v>0.001</v>
      </c>
      <c r="I44" s="13" t="s">
        <v>111</v>
      </c>
      <c r="J44" s="14" t="s">
        <v>24</v>
      </c>
      <c r="K44" s="18">
        <f t="shared" si="17"/>
        <v>295</v>
      </c>
      <c r="M44" s="13" t="s">
        <v>254</v>
      </c>
      <c r="N44" s="14" t="s">
        <v>24</v>
      </c>
      <c r="O44" s="22">
        <f>O43+$O$27*$O$26</f>
        <v>412.5256269</v>
      </c>
      <c r="Q44" s="24" t="s">
        <v>142</v>
      </c>
      <c r="R44" s="25" t="s">
        <v>45</v>
      </c>
      <c r="S44" s="78">
        <f>C7</f>
        <v>22</v>
      </c>
    </row>
    <row r="45">
      <c r="A45" s="13" t="s">
        <v>39</v>
      </c>
      <c r="B45" s="14" t="s">
        <v>21</v>
      </c>
      <c r="C45" s="30">
        <v>1.48</v>
      </c>
      <c r="E45" s="13" t="s">
        <v>39</v>
      </c>
      <c r="F45" s="14" t="s">
        <v>22</v>
      </c>
      <c r="G45" s="18">
        <f t="shared" si="18"/>
        <v>0.003</v>
      </c>
      <c r="I45" s="13" t="s">
        <v>120</v>
      </c>
      <c r="J45" s="14" t="s">
        <v>110</v>
      </c>
      <c r="K45" s="18">
        <f>K8</f>
        <v>5126.587034</v>
      </c>
      <c r="M45" s="13" t="s">
        <v>255</v>
      </c>
      <c r="N45" s="14" t="s">
        <v>24</v>
      </c>
      <c r="O45" s="22">
        <f>O44+$O$27*$O$25</f>
        <v>426.3252588</v>
      </c>
      <c r="P45" s="72" t="s">
        <v>256</v>
      </c>
    </row>
    <row r="46">
      <c r="A46" s="24" t="s">
        <v>43</v>
      </c>
      <c r="B46" s="25" t="s">
        <v>21</v>
      </c>
      <c r="C46" s="31">
        <v>2.1</v>
      </c>
      <c r="E46" s="13" t="s">
        <v>239</v>
      </c>
      <c r="F46" s="14" t="s">
        <v>22</v>
      </c>
      <c r="G46" s="18">
        <f>C38/1000</f>
        <v>0.0025</v>
      </c>
      <c r="I46" s="46" t="s">
        <v>121</v>
      </c>
      <c r="J46" s="28" t="s">
        <v>113</v>
      </c>
      <c r="K46" s="59">
        <f>(K43-K44)/K45</f>
        <v>0.04057280187</v>
      </c>
      <c r="M46" s="13" t="s">
        <v>259</v>
      </c>
      <c r="N46" s="14" t="s">
        <v>24</v>
      </c>
      <c r="O46" s="22">
        <f>O45+$O$27*$O$26</f>
        <v>426.3312077</v>
      </c>
    </row>
    <row r="47">
      <c r="A47" s="77" t="s">
        <v>265</v>
      </c>
      <c r="B47" s="11"/>
      <c r="C47" s="12"/>
      <c r="E47" s="13" t="s">
        <v>152</v>
      </c>
      <c r="F47" s="14" t="s">
        <v>52</v>
      </c>
      <c r="G47" s="18">
        <f>C10</f>
        <v>112.1</v>
      </c>
      <c r="I47" s="9" t="s">
        <v>272</v>
      </c>
      <c r="J47" s="2"/>
      <c r="K47" s="3"/>
      <c r="M47" s="13" t="s">
        <v>262</v>
      </c>
      <c r="N47" s="14" t="s">
        <v>24</v>
      </c>
      <c r="O47" s="22">
        <f>O46+$O$27*$O$25</f>
        <v>440.1308396</v>
      </c>
      <c r="P47" s="72" t="s">
        <v>263</v>
      </c>
    </row>
    <row r="48">
      <c r="A48" s="19" t="s">
        <v>35</v>
      </c>
      <c r="B48" s="16" t="s">
        <v>21</v>
      </c>
      <c r="C48" s="40">
        <v>1.0</v>
      </c>
      <c r="E48" s="32" t="s">
        <v>266</v>
      </c>
      <c r="F48" s="33" t="s">
        <v>110</v>
      </c>
      <c r="G48" s="34">
        <f>LN((G45/G44))/(2*pi()*G46*G47)</f>
        <v>0.6239057138</v>
      </c>
      <c r="I48" s="13" t="s">
        <v>261</v>
      </c>
      <c r="J48" s="14" t="s">
        <v>24</v>
      </c>
      <c r="K48" s="18">
        <f t="shared" ref="K48:K49" si="19">C6+273</f>
        <v>503</v>
      </c>
      <c r="M48" s="13" t="s">
        <v>267</v>
      </c>
      <c r="N48" s="14" t="s">
        <v>24</v>
      </c>
      <c r="O48" s="22">
        <f>O47+$O$27*$O$26</f>
        <v>440.1367885</v>
      </c>
    </row>
    <row r="49">
      <c r="A49" s="13" t="s">
        <v>39</v>
      </c>
      <c r="B49" s="14" t="s">
        <v>21</v>
      </c>
      <c r="C49" s="30">
        <v>3.5</v>
      </c>
      <c r="E49" s="9" t="s">
        <v>268</v>
      </c>
      <c r="F49" s="2"/>
      <c r="G49" s="3"/>
      <c r="I49" s="13" t="s">
        <v>111</v>
      </c>
      <c r="J49" s="14" t="s">
        <v>24</v>
      </c>
      <c r="K49" s="18">
        <f t="shared" si="19"/>
        <v>295</v>
      </c>
      <c r="M49" s="13" t="s">
        <v>269</v>
      </c>
      <c r="N49" s="14" t="s">
        <v>24</v>
      </c>
      <c r="O49" s="22">
        <f>O48+$O$27*$O$25</f>
        <v>453.9364203</v>
      </c>
      <c r="P49" s="72" t="s">
        <v>270</v>
      </c>
    </row>
    <row r="50">
      <c r="A50" s="9" t="s">
        <v>74</v>
      </c>
      <c r="B50" s="2"/>
      <c r="C50" s="3"/>
      <c r="E50" s="19" t="s">
        <v>200</v>
      </c>
      <c r="F50" s="16" t="s">
        <v>52</v>
      </c>
      <c r="G50" s="45">
        <f>C9</f>
        <v>155.3</v>
      </c>
      <c r="I50" s="13" t="s">
        <v>247</v>
      </c>
      <c r="J50" s="14" t="s">
        <v>110</v>
      </c>
      <c r="K50" s="18">
        <f>K37</f>
        <v>12.78005701</v>
      </c>
      <c r="M50" s="24" t="s">
        <v>271</v>
      </c>
      <c r="N50" s="25" t="s">
        <v>24</v>
      </c>
      <c r="O50" s="79">
        <f>O49+$O$27*$O$26</f>
        <v>453.9423693</v>
      </c>
    </row>
    <row r="51">
      <c r="A51" s="19" t="s">
        <v>35</v>
      </c>
      <c r="B51" s="16" t="s">
        <v>21</v>
      </c>
      <c r="C51" s="40">
        <f>average(2.1,3.5)</f>
        <v>2.8</v>
      </c>
      <c r="E51" s="13" t="s">
        <v>239</v>
      </c>
      <c r="F51" s="14" t="s">
        <v>22</v>
      </c>
      <c r="G51" s="18">
        <f>C38/1000</f>
        <v>0.0025</v>
      </c>
      <c r="I51" s="46" t="s">
        <v>159</v>
      </c>
      <c r="J51" s="28" t="s">
        <v>113</v>
      </c>
      <c r="K51" s="59">
        <f>(K48-K49)/K50</f>
        <v>16.27535776</v>
      </c>
    </row>
    <row r="52">
      <c r="A52" s="13" t="s">
        <v>78</v>
      </c>
      <c r="B52" s="14" t="s">
        <v>21</v>
      </c>
      <c r="C52" s="30">
        <v>4.0</v>
      </c>
      <c r="E52" s="13" t="s">
        <v>65</v>
      </c>
      <c r="F52" s="14" t="s">
        <v>22</v>
      </c>
      <c r="G52" s="18">
        <f t="shared" ref="G52:G53" si="20">C35/1000</f>
        <v>0.023</v>
      </c>
      <c r="M52" s="9" t="s">
        <v>382</v>
      </c>
      <c r="N52" s="2"/>
      <c r="O52" s="3"/>
    </row>
    <row r="53">
      <c r="A53" s="13" t="s">
        <v>39</v>
      </c>
      <c r="B53" s="14" t="s">
        <v>21</v>
      </c>
      <c r="C53" s="30">
        <v>11.0</v>
      </c>
      <c r="E53" s="13" t="s">
        <v>68</v>
      </c>
      <c r="F53" s="14" t="s">
        <v>22</v>
      </c>
      <c r="G53" s="18">
        <f t="shared" si="20"/>
        <v>0.016</v>
      </c>
      <c r="I53" s="1" t="s">
        <v>280</v>
      </c>
      <c r="J53" s="2"/>
      <c r="K53" s="3"/>
      <c r="M53" s="13" t="s">
        <v>422</v>
      </c>
      <c r="N53" s="14" t="s">
        <v>24</v>
      </c>
      <c r="O53" s="18">
        <f>O50</f>
        <v>453.9423693</v>
      </c>
      <c r="P53" s="72" t="s">
        <v>274</v>
      </c>
    </row>
    <row r="54">
      <c r="A54" s="13" t="s">
        <v>85</v>
      </c>
      <c r="B54" s="14" t="s">
        <v>21</v>
      </c>
      <c r="C54" s="30">
        <v>1.5</v>
      </c>
      <c r="E54" s="13" t="s">
        <v>220</v>
      </c>
      <c r="F54" s="14" t="s">
        <v>28</v>
      </c>
      <c r="G54" s="18">
        <f>G53*G52</f>
        <v>0.000368</v>
      </c>
      <c r="M54" s="13" t="s">
        <v>180</v>
      </c>
      <c r="N54" s="14" t="s">
        <v>110</v>
      </c>
      <c r="O54" s="18">
        <f>K13</f>
        <v>0.8478850099</v>
      </c>
    </row>
    <row r="55">
      <c r="A55" s="24" t="s">
        <v>90</v>
      </c>
      <c r="B55" s="25" t="s">
        <v>21</v>
      </c>
      <c r="C55" s="31">
        <v>1.0</v>
      </c>
      <c r="E55" s="13" t="s">
        <v>229</v>
      </c>
      <c r="F55" s="14" t="s">
        <v>28</v>
      </c>
      <c r="G55" s="18">
        <f>pi()*G45^2</f>
        <v>0.00002827433388</v>
      </c>
      <c r="I55" s="9" t="s">
        <v>284</v>
      </c>
      <c r="J55" s="2"/>
      <c r="K55" s="3"/>
      <c r="M55" s="13" t="s">
        <v>159</v>
      </c>
      <c r="N55" s="14" t="s">
        <v>113</v>
      </c>
      <c r="O55" s="18">
        <f>K51</f>
        <v>16.27535776</v>
      </c>
    </row>
    <row r="56">
      <c r="E56" s="13" t="s">
        <v>234</v>
      </c>
      <c r="F56" s="14" t="s">
        <v>28</v>
      </c>
      <c r="G56" s="18">
        <f>G54-G55</f>
        <v>0.0003397256661</v>
      </c>
      <c r="I56" s="19" t="s">
        <v>147</v>
      </c>
      <c r="J56" s="16" t="s">
        <v>55</v>
      </c>
      <c r="K56" s="45">
        <f>C17</f>
        <v>1240</v>
      </c>
      <c r="M56" s="46" t="s">
        <v>273</v>
      </c>
      <c r="N56" s="28" t="s">
        <v>24</v>
      </c>
      <c r="O56" s="59">
        <f>O53+O54*O55</f>
        <v>467.7420011</v>
      </c>
    </row>
    <row r="57">
      <c r="A57" s="72" t="s">
        <v>282</v>
      </c>
      <c r="E57" s="46" t="s">
        <v>279</v>
      </c>
      <c r="F57" s="28" t="s">
        <v>110</v>
      </c>
      <c r="G57" s="47">
        <f>G51/(G50*G56)</f>
        <v>0.04738492462</v>
      </c>
      <c r="I57" s="13" t="s">
        <v>286</v>
      </c>
      <c r="J57" s="14" t="s">
        <v>15</v>
      </c>
      <c r="K57" s="80">
        <f>C18/10^9</f>
        <v>0.000000015</v>
      </c>
      <c r="M57" s="9" t="s">
        <v>287</v>
      </c>
      <c r="N57" s="2"/>
      <c r="O57" s="3"/>
    </row>
    <row r="58">
      <c r="E58" s="69" t="s">
        <v>129</v>
      </c>
      <c r="F58" s="3"/>
      <c r="G58" s="70">
        <f>((1/G48)+(1/G57))^(-1)</f>
        <v>0.04404012737</v>
      </c>
      <c r="I58" s="46" t="s">
        <v>289</v>
      </c>
      <c r="J58" s="28" t="s">
        <v>290</v>
      </c>
      <c r="K58" s="81">
        <f>K57*K56</f>
        <v>0.0000186</v>
      </c>
      <c r="M58" s="13" t="s">
        <v>299</v>
      </c>
      <c r="N58" s="14" t="s">
        <v>24</v>
      </c>
      <c r="O58" s="18">
        <f>O56</f>
        <v>467.7420011</v>
      </c>
    </row>
    <row r="59">
      <c r="I59" s="9" t="s">
        <v>127</v>
      </c>
      <c r="J59" s="2"/>
      <c r="K59" s="3"/>
      <c r="M59" s="13" t="s">
        <v>292</v>
      </c>
      <c r="N59" s="14" t="s">
        <v>110</v>
      </c>
      <c r="O59" s="18">
        <f>K12</f>
        <v>2.03113475</v>
      </c>
    </row>
    <row r="60">
      <c r="E60" s="53" t="s">
        <v>133</v>
      </c>
      <c r="F60" s="2"/>
      <c r="G60" s="3"/>
      <c r="I60" s="13" t="s">
        <v>289</v>
      </c>
      <c r="J60" s="16" t="s">
        <v>290</v>
      </c>
      <c r="K60" s="36">
        <f>K58</f>
        <v>0.0000186</v>
      </c>
      <c r="M60" s="13" t="s">
        <v>159</v>
      </c>
      <c r="N60" s="14" t="s">
        <v>113</v>
      </c>
      <c r="O60" s="18">
        <f>K51</f>
        <v>16.27535776</v>
      </c>
    </row>
    <row r="61">
      <c r="I61" s="13" t="s">
        <v>293</v>
      </c>
      <c r="J61" s="14" t="s">
        <v>157</v>
      </c>
      <c r="K61" s="18">
        <f>C19</f>
        <v>1800</v>
      </c>
      <c r="M61" s="46" t="s">
        <v>160</v>
      </c>
      <c r="N61" s="28" t="s">
        <v>24</v>
      </c>
      <c r="O61" s="59">
        <f>O58+O59*O60</f>
        <v>500.7994459</v>
      </c>
    </row>
    <row r="62">
      <c r="E62" s="9" t="s">
        <v>288</v>
      </c>
      <c r="F62" s="2"/>
      <c r="G62" s="3"/>
      <c r="I62" s="13" t="s">
        <v>295</v>
      </c>
      <c r="J62" s="14" t="s">
        <v>24</v>
      </c>
      <c r="K62" s="18">
        <f t="shared" ref="K62:K63" si="21">C20+273</f>
        <v>333</v>
      </c>
      <c r="M62" s="9" t="s">
        <v>296</v>
      </c>
      <c r="N62" s="2"/>
      <c r="O62" s="3"/>
    </row>
    <row r="63">
      <c r="E63" s="19" t="s">
        <v>35</v>
      </c>
      <c r="F63" s="16" t="s">
        <v>22</v>
      </c>
      <c r="G63" s="45">
        <f t="shared" ref="G63:G64" si="22">C41/1000</f>
        <v>0.001</v>
      </c>
      <c r="I63" s="13" t="s">
        <v>298</v>
      </c>
      <c r="J63" s="14" t="s">
        <v>24</v>
      </c>
      <c r="K63" s="18">
        <f t="shared" si="21"/>
        <v>503</v>
      </c>
      <c r="M63" s="13" t="s">
        <v>299</v>
      </c>
      <c r="N63" s="14" t="s">
        <v>24</v>
      </c>
      <c r="O63" s="18">
        <f>O61</f>
        <v>500.7994459</v>
      </c>
    </row>
    <row r="64">
      <c r="E64" s="13" t="s">
        <v>39</v>
      </c>
      <c r="F64" s="14" t="s">
        <v>22</v>
      </c>
      <c r="G64" s="18">
        <f t="shared" si="22"/>
        <v>0.003</v>
      </c>
      <c r="I64" s="46" t="s">
        <v>301</v>
      </c>
      <c r="J64" s="28" t="s">
        <v>113</v>
      </c>
      <c r="K64" s="82">
        <f>K60*K61*(K63-K62)</f>
        <v>5.6916</v>
      </c>
      <c r="M64" s="13" t="s">
        <v>133</v>
      </c>
      <c r="N64" s="14" t="s">
        <v>110</v>
      </c>
      <c r="O64" s="18">
        <f>K11</f>
        <v>0.09116760082</v>
      </c>
    </row>
    <row r="65">
      <c r="E65" s="13" t="s">
        <v>242</v>
      </c>
      <c r="F65" s="14" t="s">
        <v>22</v>
      </c>
      <c r="G65" s="18">
        <f>C39/1000</f>
        <v>0.005</v>
      </c>
      <c r="M65" s="13" t="s">
        <v>159</v>
      </c>
      <c r="N65" s="14" t="s">
        <v>113</v>
      </c>
      <c r="O65" s="18">
        <f>K51</f>
        <v>16.27535776</v>
      </c>
    </row>
    <row r="66">
      <c r="E66" s="13" t="s">
        <v>294</v>
      </c>
      <c r="F66" s="14" t="s">
        <v>52</v>
      </c>
      <c r="G66" s="18">
        <f>C11</f>
        <v>14.58</v>
      </c>
      <c r="I66" s="1" t="s">
        <v>302</v>
      </c>
      <c r="J66" s="2"/>
      <c r="K66" s="3"/>
      <c r="M66" s="46" t="s">
        <v>160</v>
      </c>
      <c r="N66" s="28" t="s">
        <v>24</v>
      </c>
      <c r="O66" s="59">
        <f>O63+O64*O65</f>
        <v>502.2832312</v>
      </c>
    </row>
    <row r="67">
      <c r="E67" s="32" t="s">
        <v>297</v>
      </c>
      <c r="F67" s="28" t="s">
        <v>110</v>
      </c>
      <c r="G67" s="34">
        <f>LN((G64/G63))/(2*pi()*G65*G66)</f>
        <v>2.398485271</v>
      </c>
    </row>
    <row r="68">
      <c r="E68" s="9" t="s">
        <v>300</v>
      </c>
      <c r="F68" s="2"/>
      <c r="G68" s="3"/>
      <c r="I68" s="50" t="s">
        <v>5</v>
      </c>
      <c r="J68" s="7" t="s">
        <v>6</v>
      </c>
      <c r="K68" s="51" t="s">
        <v>7</v>
      </c>
    </row>
    <row r="69">
      <c r="E69" s="19" t="s">
        <v>200</v>
      </c>
      <c r="F69" s="16" t="s">
        <v>52</v>
      </c>
      <c r="G69" s="45">
        <f>C9</f>
        <v>155.3</v>
      </c>
      <c r="I69" s="9" t="s">
        <v>258</v>
      </c>
      <c r="J69" s="2"/>
      <c r="K69" s="3"/>
    </row>
    <row r="70">
      <c r="E70" s="13" t="s">
        <v>242</v>
      </c>
      <c r="F70" s="14" t="s">
        <v>22</v>
      </c>
      <c r="G70" s="18">
        <f>C39/1000</f>
        <v>0.005</v>
      </c>
      <c r="I70" s="13" t="s">
        <v>121</v>
      </c>
      <c r="J70" s="14" t="s">
        <v>113</v>
      </c>
      <c r="K70" s="18">
        <f>K46</f>
        <v>0.04057280187</v>
      </c>
    </row>
    <row r="71">
      <c r="E71" s="13" t="s">
        <v>65</v>
      </c>
      <c r="F71" s="14" t="s">
        <v>22</v>
      </c>
      <c r="G71" s="18">
        <f t="shared" ref="G71:G72" si="23">C35/1000</f>
        <v>0.023</v>
      </c>
      <c r="I71" s="13" t="s">
        <v>159</v>
      </c>
      <c r="J71" s="14" t="s">
        <v>113</v>
      </c>
      <c r="K71" s="18">
        <f>K51</f>
        <v>16.27535776</v>
      </c>
    </row>
    <row r="72">
      <c r="E72" s="13" t="s">
        <v>68</v>
      </c>
      <c r="F72" s="14" t="s">
        <v>22</v>
      </c>
      <c r="G72" s="18">
        <f t="shared" si="23"/>
        <v>0.016</v>
      </c>
      <c r="I72" s="13" t="s">
        <v>301</v>
      </c>
      <c r="J72" s="14" t="s">
        <v>113</v>
      </c>
      <c r="K72" s="83">
        <f>K64</f>
        <v>5.6916</v>
      </c>
    </row>
    <row r="73">
      <c r="E73" s="13" t="s">
        <v>220</v>
      </c>
      <c r="F73" s="14" t="s">
        <v>28</v>
      </c>
      <c r="G73" s="18">
        <f>G71*G72</f>
        <v>0.000368</v>
      </c>
      <c r="I73" s="46" t="s">
        <v>112</v>
      </c>
      <c r="J73" s="28" t="s">
        <v>113</v>
      </c>
      <c r="K73" s="59">
        <f>SUM(K70:K72)</f>
        <v>22.00753057</v>
      </c>
    </row>
    <row r="74">
      <c r="E74" s="13" t="s">
        <v>229</v>
      </c>
      <c r="F74" s="14" t="s">
        <v>28</v>
      </c>
      <c r="G74" s="18">
        <f>pi()*G64^2</f>
        <v>0.00002827433388</v>
      </c>
    </row>
    <row r="75">
      <c r="E75" s="13" t="s">
        <v>234</v>
      </c>
      <c r="F75" s="14" t="s">
        <v>28</v>
      </c>
      <c r="G75" s="18">
        <f>G73-G74</f>
        <v>0.0003397256661</v>
      </c>
    </row>
    <row r="76">
      <c r="E76" s="46" t="s">
        <v>303</v>
      </c>
      <c r="F76" s="28" t="s">
        <v>110</v>
      </c>
      <c r="G76" s="47">
        <f>G70/(G69*G75)</f>
        <v>0.09476984924</v>
      </c>
    </row>
    <row r="77">
      <c r="E77" s="69" t="s">
        <v>133</v>
      </c>
      <c r="F77" s="3"/>
      <c r="G77" s="70">
        <f>((1/G67)+(1/G76))^(-1)</f>
        <v>0.09116760082</v>
      </c>
    </row>
    <row r="79">
      <c r="E79" s="53" t="s">
        <v>292</v>
      </c>
      <c r="F79" s="2"/>
      <c r="G79" s="3"/>
    </row>
    <row r="81">
      <c r="E81" s="9" t="s">
        <v>304</v>
      </c>
      <c r="F81" s="2"/>
      <c r="G81" s="3"/>
    </row>
    <row r="82">
      <c r="E82" s="19" t="s">
        <v>35</v>
      </c>
      <c r="F82" s="16" t="s">
        <v>22</v>
      </c>
      <c r="G82" s="45">
        <f t="shared" ref="G82:G84" si="24">C44/1000</f>
        <v>0.001</v>
      </c>
    </row>
    <row r="83">
      <c r="E83" s="13" t="s">
        <v>39</v>
      </c>
      <c r="F83" s="14" t="s">
        <v>22</v>
      </c>
      <c r="G83" s="18">
        <f t="shared" si="24"/>
        <v>0.00148</v>
      </c>
    </row>
    <row r="84">
      <c r="E84" s="13" t="s">
        <v>43</v>
      </c>
      <c r="F84" s="14" t="s">
        <v>22</v>
      </c>
      <c r="G84" s="18">
        <f t="shared" si="24"/>
        <v>0.0021</v>
      </c>
    </row>
    <row r="85">
      <c r="E85" s="13" t="s">
        <v>294</v>
      </c>
      <c r="F85" s="14" t="s">
        <v>52</v>
      </c>
      <c r="G85" s="18">
        <f>C11</f>
        <v>14.58</v>
      </c>
    </row>
    <row r="86">
      <c r="E86" s="32" t="s">
        <v>308</v>
      </c>
      <c r="F86" s="33" t="s">
        <v>110</v>
      </c>
      <c r="G86" s="34">
        <f>LN((G83/G82))/(2*pi()*G84*G85)</f>
        <v>2.037867796</v>
      </c>
    </row>
    <row r="87">
      <c r="E87" s="9" t="s">
        <v>309</v>
      </c>
      <c r="F87" s="2"/>
      <c r="G87" s="3"/>
    </row>
    <row r="88">
      <c r="E88" s="19" t="s">
        <v>310</v>
      </c>
      <c r="F88" s="16" t="s">
        <v>19</v>
      </c>
      <c r="G88" s="61">
        <f>C13</f>
        <v>4.504503146</v>
      </c>
    </row>
    <row r="89">
      <c r="E89" s="13" t="s">
        <v>65</v>
      </c>
      <c r="F89" s="14" t="s">
        <v>22</v>
      </c>
      <c r="G89" s="18">
        <f t="shared" ref="G89:G90" si="25">C35/1000</f>
        <v>0.023</v>
      </c>
    </row>
    <row r="90">
      <c r="E90" s="13" t="s">
        <v>68</v>
      </c>
      <c r="F90" s="14" t="s">
        <v>22</v>
      </c>
      <c r="G90" s="18">
        <f t="shared" si="25"/>
        <v>0.016</v>
      </c>
    </row>
    <row r="91">
      <c r="E91" s="13" t="s">
        <v>220</v>
      </c>
      <c r="F91" s="14" t="s">
        <v>28</v>
      </c>
      <c r="G91" s="18">
        <f>G90*G89</f>
        <v>0.000368</v>
      </c>
    </row>
    <row r="92">
      <c r="E92" s="13" t="s">
        <v>229</v>
      </c>
      <c r="F92" s="14" t="s">
        <v>28</v>
      </c>
      <c r="G92" s="18">
        <f>pi()*G83^2</f>
        <v>0.000006881344548</v>
      </c>
    </row>
    <row r="93">
      <c r="E93" s="13" t="s">
        <v>234</v>
      </c>
      <c r="F93" s="14" t="s">
        <v>28</v>
      </c>
      <c r="G93" s="18">
        <f>G91-G92</f>
        <v>0.0003611186555</v>
      </c>
    </row>
    <row r="94">
      <c r="E94" s="46" t="s">
        <v>313</v>
      </c>
      <c r="F94" s="25" t="s">
        <v>110</v>
      </c>
      <c r="G94" s="59">
        <f>1/(G88*G93)</f>
        <v>614.7565727</v>
      </c>
    </row>
    <row r="95">
      <c r="E95" s="69" t="s">
        <v>292</v>
      </c>
      <c r="F95" s="3"/>
      <c r="G95" s="70">
        <f>((1/G86)+(1/G94))^(-1)</f>
        <v>2.03113475</v>
      </c>
    </row>
    <row r="97">
      <c r="E97" s="89" t="s">
        <v>318</v>
      </c>
      <c r="F97" s="2"/>
      <c r="G97" s="3"/>
    </row>
    <row r="99">
      <c r="E99" s="9" t="s">
        <v>319</v>
      </c>
      <c r="F99" s="2"/>
      <c r="G99" s="3"/>
    </row>
    <row r="100">
      <c r="E100" s="19" t="s">
        <v>35</v>
      </c>
      <c r="F100" s="16" t="s">
        <v>22</v>
      </c>
      <c r="G100" s="45">
        <f>C51/1000</f>
        <v>0.0028</v>
      </c>
    </row>
    <row r="101">
      <c r="E101" s="13" t="s">
        <v>39</v>
      </c>
      <c r="F101" s="14" t="s">
        <v>22</v>
      </c>
      <c r="G101" s="18">
        <f t="shared" ref="G101:G102" si="26">C53/1000</f>
        <v>0.011</v>
      </c>
    </row>
    <row r="102">
      <c r="E102" s="13" t="s">
        <v>43</v>
      </c>
      <c r="F102" s="14" t="s">
        <v>22</v>
      </c>
      <c r="G102" s="18">
        <f t="shared" si="26"/>
        <v>0.0015</v>
      </c>
    </row>
    <row r="103">
      <c r="E103" s="13" t="s">
        <v>200</v>
      </c>
      <c r="F103" s="14" t="s">
        <v>52</v>
      </c>
      <c r="G103" s="18">
        <f>C9</f>
        <v>155.3</v>
      </c>
    </row>
    <row r="104">
      <c r="E104" s="32" t="s">
        <v>320</v>
      </c>
      <c r="F104" s="33" t="s">
        <v>110</v>
      </c>
      <c r="G104" s="34">
        <f>LN((G101/G100))/(2*pi()*G102*G103)</f>
        <v>0.9348266406</v>
      </c>
    </row>
    <row r="105">
      <c r="E105" s="9" t="s">
        <v>321</v>
      </c>
      <c r="F105" s="2"/>
      <c r="G105" s="3"/>
    </row>
    <row r="106">
      <c r="E106" s="19" t="s">
        <v>35</v>
      </c>
      <c r="F106" s="16" t="s">
        <v>22</v>
      </c>
      <c r="G106" s="45">
        <f t="shared" ref="G106:G107" si="27">C48/1000</f>
        <v>0.001</v>
      </c>
    </row>
    <row r="107">
      <c r="E107" s="13" t="s">
        <v>39</v>
      </c>
      <c r="F107" s="14" t="s">
        <v>22</v>
      </c>
      <c r="G107" s="18">
        <f t="shared" si="27"/>
        <v>0.0035</v>
      </c>
    </row>
    <row r="108">
      <c r="E108" s="13" t="s">
        <v>43</v>
      </c>
      <c r="F108" s="14" t="s">
        <v>22</v>
      </c>
      <c r="G108" s="18">
        <f>C54/1000</f>
        <v>0.0015</v>
      </c>
    </row>
    <row r="109">
      <c r="E109" s="13" t="s">
        <v>322</v>
      </c>
      <c r="F109" s="14" t="s">
        <v>52</v>
      </c>
      <c r="G109" s="18">
        <f>C11</f>
        <v>14.58</v>
      </c>
    </row>
    <row r="110">
      <c r="E110" s="32" t="s">
        <v>323</v>
      </c>
      <c r="F110" s="33" t="s">
        <v>110</v>
      </c>
      <c r="G110" s="34">
        <f>LN((G107/G106))/(2*pi()*G108*G109)</f>
        <v>9.116754411</v>
      </c>
    </row>
    <row r="111">
      <c r="E111" s="9" t="s">
        <v>324</v>
      </c>
      <c r="F111" s="2"/>
      <c r="G111" s="3"/>
    </row>
    <row r="112">
      <c r="E112" s="19" t="s">
        <v>35</v>
      </c>
      <c r="F112" s="16" t="s">
        <v>22</v>
      </c>
      <c r="G112" s="45">
        <f t="shared" ref="G112:G113" si="28">C51/1000</f>
        <v>0.0028</v>
      </c>
    </row>
    <row r="113">
      <c r="E113" s="13" t="s">
        <v>39</v>
      </c>
      <c r="F113" s="14" t="s">
        <v>22</v>
      </c>
      <c r="G113" s="18">
        <f t="shared" si="28"/>
        <v>0.004</v>
      </c>
    </row>
    <row r="114">
      <c r="E114" s="13" t="s">
        <v>43</v>
      </c>
      <c r="F114" s="14" t="s">
        <v>22</v>
      </c>
      <c r="G114" s="18">
        <f>C55</f>
        <v>1</v>
      </c>
    </row>
    <row r="115">
      <c r="E115" s="13" t="s">
        <v>200</v>
      </c>
      <c r="F115" s="14" t="s">
        <v>52</v>
      </c>
      <c r="G115" s="18">
        <f>C9</f>
        <v>155.3</v>
      </c>
    </row>
    <row r="116">
      <c r="E116" s="46" t="s">
        <v>325</v>
      </c>
      <c r="F116" s="28" t="s">
        <v>110</v>
      </c>
      <c r="G116" s="47">
        <f>LN((G113/G112))/(2*pi()*G114*G115)</f>
        <v>0.000365528528</v>
      </c>
    </row>
    <row r="117">
      <c r="E117" s="9" t="s">
        <v>326</v>
      </c>
      <c r="F117" s="2"/>
      <c r="G117" s="3"/>
    </row>
    <row r="118">
      <c r="E118" s="19" t="s">
        <v>35</v>
      </c>
      <c r="F118" s="16" t="s">
        <v>22</v>
      </c>
      <c r="G118" s="45">
        <f t="shared" ref="G118:G119" si="29">C48/1000</f>
        <v>0.001</v>
      </c>
    </row>
    <row r="119">
      <c r="E119" s="13" t="s">
        <v>39</v>
      </c>
      <c r="F119" s="14" t="s">
        <v>22</v>
      </c>
      <c r="G119" s="18">
        <f t="shared" si="29"/>
        <v>0.0035</v>
      </c>
    </row>
    <row r="120">
      <c r="E120" s="13" t="s">
        <v>43</v>
      </c>
      <c r="F120" s="14" t="s">
        <v>22</v>
      </c>
      <c r="G120" s="18">
        <f>C55/1000</f>
        <v>0.001</v>
      </c>
    </row>
    <row r="121">
      <c r="E121" s="13" t="s">
        <v>322</v>
      </c>
      <c r="F121" s="14" t="s">
        <v>52</v>
      </c>
      <c r="G121" s="18">
        <f>C11</f>
        <v>14.58</v>
      </c>
    </row>
    <row r="122">
      <c r="E122" s="32" t="s">
        <v>327</v>
      </c>
      <c r="F122" s="33" t="s">
        <v>110</v>
      </c>
      <c r="G122" s="34">
        <f>LN((G119/G118))/(2*pi()*G120*G121)</f>
        <v>13.67513162</v>
      </c>
    </row>
    <row r="123">
      <c r="E123" s="9" t="s">
        <v>328</v>
      </c>
      <c r="F123" s="2"/>
      <c r="G123" s="3"/>
    </row>
    <row r="124">
      <c r="E124" s="19" t="s">
        <v>329</v>
      </c>
      <c r="F124" s="16" t="s">
        <v>19</v>
      </c>
      <c r="G124" s="61">
        <f>C15</f>
        <v>54.43080556</v>
      </c>
    </row>
    <row r="125">
      <c r="E125" s="13" t="s">
        <v>78</v>
      </c>
      <c r="F125" s="14" t="s">
        <v>22</v>
      </c>
      <c r="G125" s="18">
        <f t="shared" ref="G125:G126" si="30">C52/1000</f>
        <v>0.004</v>
      </c>
    </row>
    <row r="126">
      <c r="E126" s="13" t="s">
        <v>39</v>
      </c>
      <c r="F126" s="14" t="s">
        <v>22</v>
      </c>
      <c r="G126" s="18">
        <f t="shared" si="30"/>
        <v>0.011</v>
      </c>
    </row>
    <row r="127">
      <c r="E127" s="13" t="s">
        <v>330</v>
      </c>
      <c r="F127" s="14" t="s">
        <v>28</v>
      </c>
      <c r="G127" s="18">
        <f>pi()*(G126^2-G125^2)</f>
        <v>0.0003298672286</v>
      </c>
    </row>
    <row r="128">
      <c r="E128" s="46" t="s">
        <v>331</v>
      </c>
      <c r="F128" s="25" t="s">
        <v>110</v>
      </c>
      <c r="G128" s="59">
        <f>1/(G124*G127)</f>
        <v>55.69498181</v>
      </c>
    </row>
    <row r="129">
      <c r="E129" s="69" t="s">
        <v>332</v>
      </c>
      <c r="F129" s="3"/>
      <c r="G129" s="70">
        <f>((1/G104)+(1/G110))^(-1)</f>
        <v>0.8478850099</v>
      </c>
    </row>
    <row r="130">
      <c r="E130" s="69" t="s">
        <v>333</v>
      </c>
      <c r="F130" s="3"/>
      <c r="G130" s="70">
        <f>((1/G116)+(1/G122)+(1/G128))^(-1)</f>
        <v>0.0003655163591</v>
      </c>
    </row>
    <row r="131">
      <c r="E131" s="69" t="s">
        <v>334</v>
      </c>
      <c r="F131" s="3"/>
      <c r="G131" s="70">
        <f>G104</f>
        <v>0.9348266406</v>
      </c>
    </row>
    <row r="132">
      <c r="E132" s="69" t="s">
        <v>335</v>
      </c>
      <c r="F132" s="3"/>
      <c r="G132" s="70">
        <f>((1/G116)+(1/G128))^(-1)</f>
        <v>0.0003655261291</v>
      </c>
    </row>
  </sheetData>
  <mergeCells count="68">
    <mergeCell ref="M57:O57"/>
    <mergeCell ref="E58:F58"/>
    <mergeCell ref="I59:K59"/>
    <mergeCell ref="E60:G60"/>
    <mergeCell ref="E62:G62"/>
    <mergeCell ref="M62:O62"/>
    <mergeCell ref="E68:G68"/>
    <mergeCell ref="I66:K66"/>
    <mergeCell ref="I69:K69"/>
    <mergeCell ref="E77:F77"/>
    <mergeCell ref="E79:G79"/>
    <mergeCell ref="E81:G81"/>
    <mergeCell ref="E87:G87"/>
    <mergeCell ref="E95:F95"/>
    <mergeCell ref="E130:F130"/>
    <mergeCell ref="E131:F131"/>
    <mergeCell ref="E132:F132"/>
    <mergeCell ref="E97:G97"/>
    <mergeCell ref="E99:G99"/>
    <mergeCell ref="E105:G105"/>
    <mergeCell ref="E111:G111"/>
    <mergeCell ref="E117:G117"/>
    <mergeCell ref="E123:G123"/>
    <mergeCell ref="E129:F129"/>
    <mergeCell ref="M5:O5"/>
    <mergeCell ref="Q5:S5"/>
    <mergeCell ref="A2:C2"/>
    <mergeCell ref="E2:G2"/>
    <mergeCell ref="I2:K2"/>
    <mergeCell ref="M2:O2"/>
    <mergeCell ref="Q2:S2"/>
    <mergeCell ref="I5:K5"/>
    <mergeCell ref="E6:G6"/>
    <mergeCell ref="A5:C5"/>
    <mergeCell ref="A8:C8"/>
    <mergeCell ref="E8:G8"/>
    <mergeCell ref="I9:K9"/>
    <mergeCell ref="M10:O10"/>
    <mergeCell ref="Q10:R10"/>
    <mergeCell ref="Q13:S13"/>
    <mergeCell ref="A12:C12"/>
    <mergeCell ref="E14:G14"/>
    <mergeCell ref="A16:C16"/>
    <mergeCell ref="M16:O16"/>
    <mergeCell ref="E20:F20"/>
    <mergeCell ref="M22:O22"/>
    <mergeCell ref="A23:C23"/>
    <mergeCell ref="E22:G22"/>
    <mergeCell ref="E24:G24"/>
    <mergeCell ref="A26:C26"/>
    <mergeCell ref="A30:C30"/>
    <mergeCell ref="E30:G30"/>
    <mergeCell ref="A33:C33"/>
    <mergeCell ref="A34:C34"/>
    <mergeCell ref="E39:F39"/>
    <mergeCell ref="I39:K39"/>
    <mergeCell ref="A40:C40"/>
    <mergeCell ref="E41:G41"/>
    <mergeCell ref="I42:K42"/>
    <mergeCell ref="A43:C43"/>
    <mergeCell ref="E43:G43"/>
    <mergeCell ref="A47:C47"/>
    <mergeCell ref="I47:K47"/>
    <mergeCell ref="E49:G49"/>
    <mergeCell ref="A50:C50"/>
    <mergeCell ref="M52:O52"/>
    <mergeCell ref="I53:K53"/>
    <mergeCell ref="I55:K5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5" max="5" width="69.5"/>
    <col customWidth="1" min="9" max="9" width="72.63"/>
    <col customWidth="1" min="13" max="13" width="38.88"/>
    <col customWidth="1" min="17" max="17" width="29.0"/>
  </cols>
  <sheetData>
    <row r="2">
      <c r="A2" s="1" t="s">
        <v>0</v>
      </c>
      <c r="B2" s="2"/>
      <c r="C2" s="3"/>
      <c r="E2" s="1" t="s">
        <v>99</v>
      </c>
      <c r="F2" s="2"/>
      <c r="G2" s="3"/>
      <c r="I2" s="1" t="s">
        <v>100</v>
      </c>
      <c r="J2" s="2"/>
      <c r="K2" s="3"/>
      <c r="M2" s="1" t="s">
        <v>101</v>
      </c>
      <c r="N2" s="2"/>
      <c r="O2" s="3"/>
      <c r="Q2" s="1" t="s">
        <v>102</v>
      </c>
      <c r="R2" s="2"/>
      <c r="S2" s="3"/>
    </row>
    <row r="4">
      <c r="A4" s="50" t="s">
        <v>5</v>
      </c>
      <c r="B4" s="7" t="s">
        <v>6</v>
      </c>
      <c r="C4" s="51" t="s">
        <v>7</v>
      </c>
      <c r="E4" s="50" t="s">
        <v>5</v>
      </c>
      <c r="F4" s="7" t="s">
        <v>6</v>
      </c>
      <c r="G4" s="51" t="s">
        <v>7</v>
      </c>
      <c r="I4" s="50" t="s">
        <v>5</v>
      </c>
      <c r="J4" s="7" t="s">
        <v>6</v>
      </c>
      <c r="K4" s="51" t="s">
        <v>7</v>
      </c>
      <c r="M4" s="50" t="s">
        <v>5</v>
      </c>
      <c r="N4" s="7" t="s">
        <v>6</v>
      </c>
      <c r="O4" s="51" t="s">
        <v>7</v>
      </c>
      <c r="Q4" s="50" t="s">
        <v>5</v>
      </c>
      <c r="R4" s="7" t="s">
        <v>6</v>
      </c>
      <c r="S4" s="51" t="s">
        <v>7</v>
      </c>
    </row>
    <row r="5">
      <c r="A5" s="52" t="s">
        <v>103</v>
      </c>
      <c r="C5" s="42"/>
      <c r="I5" s="9" t="s">
        <v>104</v>
      </c>
      <c r="J5" s="2"/>
      <c r="K5" s="3"/>
      <c r="M5" s="9" t="s">
        <v>105</v>
      </c>
      <c r="N5" s="2"/>
      <c r="O5" s="3"/>
      <c r="Q5" s="9" t="s">
        <v>106</v>
      </c>
      <c r="R5" s="2"/>
      <c r="S5" s="3"/>
    </row>
    <row r="6">
      <c r="A6" s="19" t="s">
        <v>107</v>
      </c>
      <c r="B6" s="16" t="s">
        <v>45</v>
      </c>
      <c r="C6" s="40">
        <v>230.0</v>
      </c>
      <c r="E6" s="53" t="s">
        <v>108</v>
      </c>
      <c r="F6" s="2"/>
      <c r="G6" s="3"/>
      <c r="I6" s="13" t="s">
        <v>109</v>
      </c>
      <c r="J6" s="14" t="s">
        <v>110</v>
      </c>
      <c r="K6" s="18">
        <f>G20</f>
        <v>5126.523559</v>
      </c>
      <c r="M6" s="13" t="s">
        <v>111</v>
      </c>
      <c r="N6" s="14" t="s">
        <v>24</v>
      </c>
      <c r="O6" s="18">
        <f>C7+273</f>
        <v>295</v>
      </c>
      <c r="Q6" s="19" t="s">
        <v>112</v>
      </c>
      <c r="R6" s="16" t="s">
        <v>113</v>
      </c>
      <c r="S6" s="54">
        <f>K93</f>
        <v>5.976602953</v>
      </c>
    </row>
    <row r="7">
      <c r="A7" s="24" t="s">
        <v>114</v>
      </c>
      <c r="B7" s="25" t="s">
        <v>45</v>
      </c>
      <c r="C7" s="31">
        <v>22.0</v>
      </c>
      <c r="I7" s="13" t="s">
        <v>115</v>
      </c>
      <c r="J7" s="14" t="s">
        <v>110</v>
      </c>
      <c r="K7" s="18">
        <f>G39</f>
        <v>0.06347457657</v>
      </c>
      <c r="M7" s="13" t="s">
        <v>116</v>
      </c>
      <c r="N7" s="14" t="s">
        <v>110</v>
      </c>
      <c r="O7" s="18">
        <f>G13</f>
        <v>5126.227122</v>
      </c>
      <c r="Q7" s="13" t="s">
        <v>117</v>
      </c>
      <c r="R7" s="14" t="s">
        <v>113</v>
      </c>
      <c r="S7" s="129">
        <f>K66</f>
        <v>0.04057280187</v>
      </c>
    </row>
    <row r="8">
      <c r="A8" s="52" t="s">
        <v>118</v>
      </c>
      <c r="C8" s="42"/>
      <c r="E8" s="10" t="s">
        <v>119</v>
      </c>
      <c r="F8" s="11"/>
      <c r="G8" s="12"/>
      <c r="I8" s="46" t="s">
        <v>120</v>
      </c>
      <c r="J8" s="28" t="s">
        <v>110</v>
      </c>
      <c r="K8" s="59">
        <f>SUM(K6:K7)</f>
        <v>5126.587034</v>
      </c>
      <c r="M8" s="13" t="s">
        <v>121</v>
      </c>
      <c r="N8" s="14" t="s">
        <v>113</v>
      </c>
      <c r="O8" s="18">
        <f>K66</f>
        <v>0.04057280187</v>
      </c>
      <c r="Q8" s="13" t="s">
        <v>122</v>
      </c>
      <c r="R8" s="14" t="s">
        <v>113</v>
      </c>
      <c r="S8" s="129">
        <f>K71</f>
        <v>0.2444301513</v>
      </c>
    </row>
    <row r="9">
      <c r="A9" s="19" t="s">
        <v>123</v>
      </c>
      <c r="B9" s="16" t="s">
        <v>52</v>
      </c>
      <c r="C9" s="60">
        <v>155.3</v>
      </c>
      <c r="E9" s="19" t="s">
        <v>124</v>
      </c>
      <c r="F9" s="16" t="s">
        <v>19</v>
      </c>
      <c r="G9" s="61">
        <f>C14</f>
        <v>5.519500293</v>
      </c>
      <c r="I9" s="9" t="s">
        <v>125</v>
      </c>
      <c r="J9" s="2"/>
      <c r="K9" s="3"/>
      <c r="M9" s="46" t="s">
        <v>126</v>
      </c>
      <c r="N9" s="28" t="s">
        <v>24</v>
      </c>
      <c r="O9" s="59">
        <f>O6+O7*O8</f>
        <v>502.9853974</v>
      </c>
      <c r="Q9" s="13" t="s">
        <v>127</v>
      </c>
      <c r="R9" s="25" t="s">
        <v>113</v>
      </c>
      <c r="S9" s="62">
        <f>K84</f>
        <v>5.6916</v>
      </c>
    </row>
    <row r="10">
      <c r="A10" s="13" t="s">
        <v>128</v>
      </c>
      <c r="B10" s="14" t="s">
        <v>52</v>
      </c>
      <c r="C10" s="63">
        <v>112.1</v>
      </c>
      <c r="E10" s="13" t="s">
        <v>35</v>
      </c>
      <c r="F10" s="14" t="s">
        <v>22</v>
      </c>
      <c r="G10" s="18">
        <f t="shared" ref="G10:G11" si="1">C27/1000</f>
        <v>0.001</v>
      </c>
      <c r="I10" s="16" t="s">
        <v>129</v>
      </c>
      <c r="J10" s="16" t="s">
        <v>110</v>
      </c>
      <c r="K10" s="64">
        <f>G58</f>
        <v>0.04404012737</v>
      </c>
      <c r="M10" s="9" t="s">
        <v>130</v>
      </c>
      <c r="N10" s="2"/>
      <c r="O10" s="3"/>
      <c r="Q10" s="41" t="s">
        <v>131</v>
      </c>
      <c r="R10" s="3"/>
      <c r="S10" s="130">
        <f>S6-SUM(S7:S9)</f>
        <v>0</v>
      </c>
    </row>
    <row r="11">
      <c r="A11" s="24" t="s">
        <v>132</v>
      </c>
      <c r="B11" s="24" t="s">
        <v>52</v>
      </c>
      <c r="C11" s="66">
        <v>14.58</v>
      </c>
      <c r="E11" s="13" t="s">
        <v>39</v>
      </c>
      <c r="F11" s="14" t="s">
        <v>22</v>
      </c>
      <c r="G11" s="18">
        <f t="shared" si="1"/>
        <v>0.0035</v>
      </c>
      <c r="I11" s="16" t="s">
        <v>133</v>
      </c>
      <c r="J11" s="16" t="s">
        <v>110</v>
      </c>
      <c r="K11" s="64">
        <f>G77</f>
        <v>0.09116760082</v>
      </c>
      <c r="M11" s="13" t="s">
        <v>126</v>
      </c>
      <c r="N11" s="14" t="s">
        <v>24</v>
      </c>
      <c r="O11" s="18">
        <f>O9</f>
        <v>502.9853974</v>
      </c>
    </row>
    <row r="12">
      <c r="A12" s="10" t="s">
        <v>11</v>
      </c>
      <c r="B12" s="11"/>
      <c r="C12" s="12"/>
      <c r="E12" s="13" t="s">
        <v>134</v>
      </c>
      <c r="F12" s="14" t="s">
        <v>28</v>
      </c>
      <c r="G12" s="18">
        <f>pi()*(G11^2-G10^2)</f>
        <v>0.00003534291735</v>
      </c>
      <c r="I12" s="14" t="s">
        <v>135</v>
      </c>
      <c r="J12" s="14" t="s">
        <v>110</v>
      </c>
      <c r="K12" s="18">
        <f t="shared" ref="K12:K32" si="2">$G$95</f>
        <v>40.00999647</v>
      </c>
      <c r="M12" s="13" t="s">
        <v>136</v>
      </c>
      <c r="N12" s="14" t="s">
        <v>110</v>
      </c>
      <c r="O12" s="18">
        <f>G19</f>
        <v>0.2964368406</v>
      </c>
      <c r="Q12" s="50" t="s">
        <v>5</v>
      </c>
      <c r="R12" s="7" t="s">
        <v>6</v>
      </c>
      <c r="S12" s="51" t="s">
        <v>7</v>
      </c>
    </row>
    <row r="13">
      <c r="A13" s="19" t="s">
        <v>18</v>
      </c>
      <c r="B13" s="16" t="s">
        <v>19</v>
      </c>
      <c r="C13" s="40">
        <f>'Natural and Forced Convection C'!S5</f>
        <v>4.504503146</v>
      </c>
      <c r="E13" s="46" t="s">
        <v>116</v>
      </c>
      <c r="F13" s="28" t="s">
        <v>110</v>
      </c>
      <c r="G13" s="59">
        <f>1/(G9*G12)</f>
        <v>5126.227122</v>
      </c>
      <c r="I13" s="14" t="s">
        <v>137</v>
      </c>
      <c r="J13" s="14" t="s">
        <v>110</v>
      </c>
      <c r="K13" s="18">
        <f t="shared" si="2"/>
        <v>40.00999647</v>
      </c>
      <c r="M13" s="13" t="s">
        <v>121</v>
      </c>
      <c r="N13" s="14" t="s">
        <v>113</v>
      </c>
      <c r="O13" s="18">
        <f>K66</f>
        <v>0.04057280187</v>
      </c>
      <c r="Q13" s="9" t="s">
        <v>138</v>
      </c>
      <c r="R13" s="2"/>
      <c r="S13" s="3"/>
    </row>
    <row r="14">
      <c r="A14" s="13" t="s">
        <v>25</v>
      </c>
      <c r="B14" s="14" t="s">
        <v>19</v>
      </c>
      <c r="C14" s="30">
        <f>'Natural and Forced Convection C'!S6</f>
        <v>5.519500293</v>
      </c>
      <c r="E14" s="9" t="s">
        <v>139</v>
      </c>
      <c r="F14" s="2"/>
      <c r="G14" s="3"/>
      <c r="I14" s="14" t="s">
        <v>140</v>
      </c>
      <c r="J14" s="14" t="s">
        <v>110</v>
      </c>
      <c r="K14" s="18">
        <f t="shared" si="2"/>
        <v>40.00999647</v>
      </c>
      <c r="M14" s="46" t="s">
        <v>141</v>
      </c>
      <c r="N14" s="28" t="s">
        <v>24</v>
      </c>
      <c r="O14" s="59">
        <f>O11+O12*O13</f>
        <v>502.9974247</v>
      </c>
      <c r="Q14" s="19" t="s">
        <v>142</v>
      </c>
      <c r="R14" s="16" t="s">
        <v>45</v>
      </c>
      <c r="S14" s="67">
        <f>C7</f>
        <v>22</v>
      </c>
    </row>
    <row r="15">
      <c r="A15" s="24" t="s">
        <v>30</v>
      </c>
      <c r="B15" s="25" t="s">
        <v>19</v>
      </c>
      <c r="C15" s="31">
        <f>'Natural and Forced Convection C'!S7</f>
        <v>54.43080556</v>
      </c>
      <c r="E15" s="19" t="s">
        <v>35</v>
      </c>
      <c r="F15" s="16" t="s">
        <v>22</v>
      </c>
      <c r="G15" s="45">
        <f t="shared" ref="G15:G17" si="3">C27/1000</f>
        <v>0.001</v>
      </c>
      <c r="I15" s="14" t="s">
        <v>143</v>
      </c>
      <c r="J15" s="14" t="s">
        <v>110</v>
      </c>
      <c r="K15" s="18">
        <f t="shared" si="2"/>
        <v>40.00999647</v>
      </c>
      <c r="Q15" s="13" t="s">
        <v>126</v>
      </c>
      <c r="R15" s="14" t="s">
        <v>45</v>
      </c>
      <c r="S15" s="68">
        <f>O9-273</f>
        <v>229.9853974</v>
      </c>
    </row>
    <row r="16">
      <c r="A16" s="9" t="s">
        <v>144</v>
      </c>
      <c r="B16" s="2"/>
      <c r="C16" s="3"/>
      <c r="E16" s="13" t="s">
        <v>39</v>
      </c>
      <c r="F16" s="14" t="s">
        <v>22</v>
      </c>
      <c r="G16" s="18">
        <f t="shared" si="3"/>
        <v>0.0035</v>
      </c>
      <c r="I16" s="14" t="s">
        <v>145</v>
      </c>
      <c r="J16" s="14" t="s">
        <v>110</v>
      </c>
      <c r="K16" s="18">
        <f t="shared" si="2"/>
        <v>40.00999647</v>
      </c>
      <c r="M16" s="9" t="s">
        <v>146</v>
      </c>
      <c r="N16" s="2"/>
      <c r="O16" s="3"/>
      <c r="Q16" s="13" t="s">
        <v>141</v>
      </c>
      <c r="R16" s="14" t="s">
        <v>45</v>
      </c>
      <c r="S16" s="68">
        <f>O14-273</f>
        <v>229.9974247</v>
      </c>
    </row>
    <row r="17">
      <c r="A17" s="19" t="s">
        <v>147</v>
      </c>
      <c r="B17" s="16" t="s">
        <v>55</v>
      </c>
      <c r="C17" s="40">
        <v>1240.0</v>
      </c>
      <c r="E17" s="13" t="s">
        <v>43</v>
      </c>
      <c r="F17" s="14" t="s">
        <v>22</v>
      </c>
      <c r="G17" s="18">
        <f t="shared" si="3"/>
        <v>0.006</v>
      </c>
      <c r="I17" s="14" t="s">
        <v>423</v>
      </c>
      <c r="J17" s="14" t="s">
        <v>110</v>
      </c>
      <c r="K17" s="18">
        <f t="shared" si="2"/>
        <v>40.00999647</v>
      </c>
      <c r="M17" s="13" t="s">
        <v>111</v>
      </c>
      <c r="N17" s="14" t="s">
        <v>24</v>
      </c>
      <c r="O17" s="18">
        <f>C7+273</f>
        <v>295</v>
      </c>
      <c r="Q17" s="13" t="s">
        <v>149</v>
      </c>
      <c r="R17" s="14" t="s">
        <v>45</v>
      </c>
      <c r="S17" s="68">
        <f>C6</f>
        <v>230</v>
      </c>
    </row>
    <row r="18">
      <c r="A18" s="13" t="s">
        <v>150</v>
      </c>
      <c r="B18" s="14" t="s">
        <v>151</v>
      </c>
      <c r="C18" s="30">
        <v>15.0</v>
      </c>
      <c r="E18" s="13" t="s">
        <v>152</v>
      </c>
      <c r="F18" s="14" t="s">
        <v>52</v>
      </c>
      <c r="G18" s="18">
        <f>C10</f>
        <v>112.1</v>
      </c>
      <c r="I18" s="14" t="s">
        <v>424</v>
      </c>
      <c r="J18" s="14" t="s">
        <v>110</v>
      </c>
      <c r="K18" s="18">
        <f t="shared" si="2"/>
        <v>40.00999647</v>
      </c>
      <c r="M18" s="13" t="s">
        <v>154</v>
      </c>
      <c r="N18" s="14" t="s">
        <v>110</v>
      </c>
      <c r="O18" s="18">
        <f>K56</f>
        <v>0.0003655261291</v>
      </c>
      <c r="Q18" s="13" t="s">
        <v>155</v>
      </c>
      <c r="R18" s="14" t="s">
        <v>45</v>
      </c>
      <c r="S18" s="68">
        <f>O86-273</f>
        <v>229.9892353</v>
      </c>
    </row>
    <row r="19">
      <c r="A19" s="13" t="s">
        <v>156</v>
      </c>
      <c r="B19" s="14" t="s">
        <v>157</v>
      </c>
      <c r="C19" s="30">
        <v>1800.0</v>
      </c>
      <c r="E19" s="46" t="s">
        <v>136</v>
      </c>
      <c r="F19" s="28" t="s">
        <v>110</v>
      </c>
      <c r="G19" s="47">
        <f>LN((G16/G15))/(2*pi()*G17*G18)</f>
        <v>0.2964368406</v>
      </c>
      <c r="I19" s="13" t="s">
        <v>425</v>
      </c>
      <c r="J19" s="14" t="s">
        <v>110</v>
      </c>
      <c r="K19" s="18">
        <f t="shared" si="2"/>
        <v>40.00999647</v>
      </c>
      <c r="M19" s="13" t="s">
        <v>159</v>
      </c>
      <c r="N19" s="14" t="s">
        <v>113</v>
      </c>
      <c r="O19" s="18">
        <f>K71</f>
        <v>0.2444301513</v>
      </c>
      <c r="Q19" s="13" t="s">
        <v>160</v>
      </c>
      <c r="R19" s="14" t="s">
        <v>45</v>
      </c>
      <c r="S19" s="68">
        <f>O81-273</f>
        <v>229.9669512</v>
      </c>
    </row>
    <row r="20">
      <c r="A20" s="13" t="s">
        <v>161</v>
      </c>
      <c r="B20" s="14" t="s">
        <v>45</v>
      </c>
      <c r="C20" s="30">
        <v>60.0</v>
      </c>
      <c r="E20" s="69" t="s">
        <v>109</v>
      </c>
      <c r="F20" s="3"/>
      <c r="G20" s="70">
        <f>G13+G19</f>
        <v>5126.523559</v>
      </c>
      <c r="I20" s="13" t="s">
        <v>426</v>
      </c>
      <c r="J20" s="14" t="s">
        <v>110</v>
      </c>
      <c r="K20" s="18">
        <f t="shared" si="2"/>
        <v>40.00999647</v>
      </c>
      <c r="M20" s="46" t="s">
        <v>163</v>
      </c>
      <c r="N20" s="28" t="s">
        <v>24</v>
      </c>
      <c r="O20" s="59">
        <f>O17+O18*O19</f>
        <v>295.0000893</v>
      </c>
      <c r="Q20" s="13" t="s">
        <v>164</v>
      </c>
      <c r="R20" s="22"/>
      <c r="S20" s="18">
        <f>O75-273</f>
        <v>220.1873017</v>
      </c>
    </row>
    <row r="21">
      <c r="A21" s="24" t="s">
        <v>165</v>
      </c>
      <c r="B21" s="25" t="s">
        <v>45</v>
      </c>
      <c r="C21" s="31">
        <v>230.0</v>
      </c>
      <c r="I21" s="14" t="s">
        <v>427</v>
      </c>
      <c r="J21" s="14" t="s">
        <v>110</v>
      </c>
      <c r="K21" s="18">
        <f t="shared" si="2"/>
        <v>40.00999647</v>
      </c>
      <c r="Q21" s="13" t="s">
        <v>167</v>
      </c>
      <c r="R21" s="22"/>
      <c r="S21" s="18">
        <f>O74-273</f>
        <v>210.4076522</v>
      </c>
    </row>
    <row r="22">
      <c r="E22" s="53" t="s">
        <v>115</v>
      </c>
      <c r="F22" s="2"/>
      <c r="G22" s="3"/>
      <c r="I22" s="13" t="s">
        <v>428</v>
      </c>
      <c r="J22" s="14" t="s">
        <v>110</v>
      </c>
      <c r="K22" s="18">
        <f t="shared" si="2"/>
        <v>40.00999647</v>
      </c>
      <c r="M22" s="9" t="s">
        <v>169</v>
      </c>
      <c r="N22" s="2"/>
      <c r="O22" s="3"/>
      <c r="Q22" s="13" t="s">
        <v>170</v>
      </c>
      <c r="R22" s="22"/>
      <c r="S22" s="18">
        <f>O73-273</f>
        <v>200.6280027</v>
      </c>
    </row>
    <row r="23">
      <c r="A23" s="1" t="s">
        <v>171</v>
      </c>
      <c r="B23" s="2"/>
      <c r="C23" s="3"/>
      <c r="I23" s="14" t="s">
        <v>429</v>
      </c>
      <c r="J23" s="14" t="s">
        <v>110</v>
      </c>
      <c r="K23" s="18">
        <f t="shared" si="2"/>
        <v>40.00999647</v>
      </c>
      <c r="M23" s="19" t="s">
        <v>173</v>
      </c>
      <c r="N23" s="16" t="s">
        <v>110</v>
      </c>
      <c r="O23" s="45">
        <f t="shared" ref="O23:O24" si="4">K55</f>
        <v>0.9348266406</v>
      </c>
      <c r="Q23" s="13" t="s">
        <v>174</v>
      </c>
      <c r="R23" s="22"/>
      <c r="S23" s="18">
        <f>O72-273</f>
        <v>190.8483532</v>
      </c>
    </row>
    <row r="24">
      <c r="E24" s="9" t="s">
        <v>175</v>
      </c>
      <c r="F24" s="2"/>
      <c r="G24" s="3"/>
      <c r="I24" s="13" t="s">
        <v>430</v>
      </c>
      <c r="J24" s="14" t="s">
        <v>110</v>
      </c>
      <c r="K24" s="18">
        <f t="shared" si="2"/>
        <v>40.00999647</v>
      </c>
      <c r="M24" s="13" t="s">
        <v>177</v>
      </c>
      <c r="N24" s="14" t="s">
        <v>110</v>
      </c>
      <c r="O24" s="18">
        <f t="shared" si="4"/>
        <v>0.0003655261291</v>
      </c>
      <c r="Q24" s="13" t="s">
        <v>431</v>
      </c>
      <c r="R24" s="22"/>
      <c r="S24" s="18">
        <f>O71-273</f>
        <v>181.0687037</v>
      </c>
    </row>
    <row r="25">
      <c r="A25" s="50" t="s">
        <v>5</v>
      </c>
      <c r="B25" s="7" t="s">
        <v>6</v>
      </c>
      <c r="C25" s="51" t="s">
        <v>7</v>
      </c>
      <c r="E25" s="19" t="s">
        <v>35</v>
      </c>
      <c r="F25" s="16" t="s">
        <v>22</v>
      </c>
      <c r="G25" s="45">
        <f t="shared" ref="G25:G26" si="5">C31/1000</f>
        <v>0.001</v>
      </c>
      <c r="I25" s="13" t="s">
        <v>432</v>
      </c>
      <c r="J25" s="14" t="s">
        <v>110</v>
      </c>
      <c r="K25" s="18">
        <f t="shared" si="2"/>
        <v>40.00999647</v>
      </c>
      <c r="M25" s="13" t="s">
        <v>180</v>
      </c>
      <c r="N25" s="14" t="s">
        <v>110</v>
      </c>
      <c r="O25" s="18">
        <f>K45</f>
        <v>0.8478850099</v>
      </c>
      <c r="Q25" s="13" t="s">
        <v>433</v>
      </c>
      <c r="R25" s="22"/>
      <c r="S25" s="18">
        <f>O70-273</f>
        <v>171.2890542</v>
      </c>
    </row>
    <row r="26">
      <c r="A26" s="9" t="s">
        <v>182</v>
      </c>
      <c r="B26" s="2"/>
      <c r="C26" s="3"/>
      <c r="E26" s="13" t="s">
        <v>39</v>
      </c>
      <c r="F26" s="14" t="s">
        <v>22</v>
      </c>
      <c r="G26" s="18">
        <f t="shared" si="5"/>
        <v>0.003</v>
      </c>
      <c r="I26" s="14" t="s">
        <v>434</v>
      </c>
      <c r="J26" s="14" t="s">
        <v>110</v>
      </c>
      <c r="K26" s="18">
        <f t="shared" si="2"/>
        <v>40.00999647</v>
      </c>
      <c r="M26" s="13" t="s">
        <v>177</v>
      </c>
      <c r="N26" s="14" t="s">
        <v>110</v>
      </c>
      <c r="O26" s="18">
        <f>K44</f>
        <v>0.0003655163591</v>
      </c>
      <c r="Q26" s="13" t="s">
        <v>435</v>
      </c>
      <c r="R26" s="22"/>
      <c r="S26" s="18">
        <f>O69-273</f>
        <v>161.5094047</v>
      </c>
    </row>
    <row r="27">
      <c r="A27" s="19" t="s">
        <v>35</v>
      </c>
      <c r="B27" s="16" t="s">
        <v>21</v>
      </c>
      <c r="C27" s="40">
        <v>1.0</v>
      </c>
      <c r="E27" s="13" t="s">
        <v>185</v>
      </c>
      <c r="F27" s="14" t="s">
        <v>22</v>
      </c>
      <c r="G27" s="18">
        <f>C37/1000</f>
        <v>0.004</v>
      </c>
      <c r="I27" s="13" t="s">
        <v>436</v>
      </c>
      <c r="J27" s="14" t="s">
        <v>110</v>
      </c>
      <c r="K27" s="18">
        <f t="shared" si="2"/>
        <v>40.00999647</v>
      </c>
      <c r="M27" s="24" t="s">
        <v>159</v>
      </c>
      <c r="N27" s="25" t="s">
        <v>113</v>
      </c>
      <c r="O27" s="71">
        <f>K71</f>
        <v>0.2444301513</v>
      </c>
      <c r="Q27" s="13" t="s">
        <v>437</v>
      </c>
      <c r="R27" s="22"/>
      <c r="S27" s="18">
        <f>O68-273</f>
        <v>151.7297552</v>
      </c>
    </row>
    <row r="28">
      <c r="A28" s="13" t="s">
        <v>39</v>
      </c>
      <c r="B28" s="14" t="s">
        <v>21</v>
      </c>
      <c r="C28" s="30">
        <v>3.5</v>
      </c>
      <c r="E28" s="13" t="s">
        <v>152</v>
      </c>
      <c r="F28" s="14" t="s">
        <v>52</v>
      </c>
      <c r="G28" s="18">
        <f>C10</f>
        <v>112.1</v>
      </c>
      <c r="I28" s="14" t="s">
        <v>438</v>
      </c>
      <c r="J28" s="14" t="s">
        <v>110</v>
      </c>
      <c r="K28" s="18">
        <f t="shared" si="2"/>
        <v>40.00999647</v>
      </c>
      <c r="M28" s="19" t="s">
        <v>163</v>
      </c>
      <c r="N28" s="16" t="s">
        <v>24</v>
      </c>
      <c r="O28" s="64">
        <f>O20</f>
        <v>295.0000893</v>
      </c>
      <c r="Q28" s="13" t="s">
        <v>439</v>
      </c>
      <c r="R28" s="22"/>
      <c r="S28" s="18">
        <f>O67-273</f>
        <v>141.9501057</v>
      </c>
    </row>
    <row r="29">
      <c r="A29" s="24" t="s">
        <v>43</v>
      </c>
      <c r="B29" s="25" t="s">
        <v>21</v>
      </c>
      <c r="C29" s="31">
        <v>6.0</v>
      </c>
      <c r="E29" s="32" t="s">
        <v>190</v>
      </c>
      <c r="F29" s="33" t="s">
        <v>110</v>
      </c>
      <c r="G29" s="34">
        <f>LN((G26/G25))/(2*pi()*G27*G28)</f>
        <v>0.3899410711</v>
      </c>
      <c r="I29" s="13" t="s">
        <v>440</v>
      </c>
      <c r="J29" s="14" t="s">
        <v>110</v>
      </c>
      <c r="K29" s="18">
        <f t="shared" si="2"/>
        <v>40.00999647</v>
      </c>
      <c r="M29" s="13" t="s">
        <v>192</v>
      </c>
      <c r="N29" s="14" t="s">
        <v>24</v>
      </c>
      <c r="O29" s="22">
        <f>O28+$O$27*$O$23</f>
        <v>295.2285892</v>
      </c>
      <c r="P29" s="72" t="s">
        <v>193</v>
      </c>
      <c r="Q29" s="13" t="s">
        <v>441</v>
      </c>
      <c r="R29" s="22"/>
      <c r="S29" s="18">
        <f>O66-273</f>
        <v>132.1704562</v>
      </c>
    </row>
    <row r="30">
      <c r="A30" s="73" t="s">
        <v>195</v>
      </c>
      <c r="B30" s="2"/>
      <c r="C30" s="3"/>
      <c r="E30" s="9" t="s">
        <v>196</v>
      </c>
      <c r="F30" s="2"/>
      <c r="G30" s="3"/>
      <c r="I30" s="13" t="s">
        <v>442</v>
      </c>
      <c r="J30" s="14" t="s">
        <v>110</v>
      </c>
      <c r="K30" s="18">
        <f t="shared" si="2"/>
        <v>40.00999647</v>
      </c>
      <c r="M30" s="13" t="s">
        <v>198</v>
      </c>
      <c r="N30" s="14" t="s">
        <v>24</v>
      </c>
      <c r="O30" s="22">
        <f>O29+$O$27*$O$24</f>
        <v>295.2286785</v>
      </c>
      <c r="Q30" s="13" t="s">
        <v>443</v>
      </c>
      <c r="R30" s="22"/>
      <c r="S30" s="18">
        <f>O65-273</f>
        <v>122.3908068</v>
      </c>
    </row>
    <row r="31">
      <c r="A31" s="16" t="s">
        <v>35</v>
      </c>
      <c r="B31" s="16" t="s">
        <v>21</v>
      </c>
      <c r="C31" s="40">
        <v>1.0</v>
      </c>
      <c r="E31" s="13" t="s">
        <v>200</v>
      </c>
      <c r="F31" s="14" t="s">
        <v>52</v>
      </c>
      <c r="G31" s="45">
        <f>C9</f>
        <v>155.3</v>
      </c>
      <c r="I31" s="14" t="s">
        <v>444</v>
      </c>
      <c r="J31" s="14" t="s">
        <v>110</v>
      </c>
      <c r="K31" s="18">
        <f t="shared" si="2"/>
        <v>40.00999647</v>
      </c>
      <c r="M31" s="13" t="s">
        <v>202</v>
      </c>
      <c r="N31" s="14" t="s">
        <v>24</v>
      </c>
      <c r="O31" s="22">
        <f>O30+$O$27*$O$23</f>
        <v>295.4571783</v>
      </c>
      <c r="P31" s="72" t="s">
        <v>203</v>
      </c>
      <c r="Q31" s="13" t="s">
        <v>445</v>
      </c>
      <c r="R31" s="22"/>
      <c r="S31" s="18">
        <f>O64-273</f>
        <v>112.6111573</v>
      </c>
    </row>
    <row r="32">
      <c r="A32" s="14" t="s">
        <v>39</v>
      </c>
      <c r="B32" s="14" t="s">
        <v>21</v>
      </c>
      <c r="C32" s="30">
        <v>3.0</v>
      </c>
      <c r="E32" s="13" t="s">
        <v>185</v>
      </c>
      <c r="F32" s="14" t="s">
        <v>22</v>
      </c>
      <c r="G32" s="18">
        <f>C37/1000</f>
        <v>0.004</v>
      </c>
      <c r="I32" s="14" t="s">
        <v>446</v>
      </c>
      <c r="J32" s="14" t="s">
        <v>110</v>
      </c>
      <c r="K32" s="18">
        <f t="shared" si="2"/>
        <v>40.00999647</v>
      </c>
      <c r="M32" s="13" t="s">
        <v>206</v>
      </c>
      <c r="N32" s="14" t="s">
        <v>24</v>
      </c>
      <c r="O32" s="22">
        <f>O31+$O$27*$O$24</f>
        <v>295.4572677</v>
      </c>
      <c r="Q32" s="13" t="s">
        <v>447</v>
      </c>
      <c r="R32" s="22"/>
      <c r="S32" s="18">
        <f>O63-273</f>
        <v>102.8315078</v>
      </c>
    </row>
    <row r="33">
      <c r="A33" s="9" t="s">
        <v>208</v>
      </c>
      <c r="B33" s="2"/>
      <c r="C33" s="3"/>
      <c r="E33" s="13" t="s">
        <v>65</v>
      </c>
      <c r="F33" s="14" t="s">
        <v>22</v>
      </c>
      <c r="G33" s="18">
        <f t="shared" ref="G33:G34" si="6">C35/1000</f>
        <v>0.023</v>
      </c>
      <c r="I33" s="14" t="s">
        <v>148</v>
      </c>
      <c r="J33" s="14" t="s">
        <v>110</v>
      </c>
      <c r="K33" s="22">
        <f t="shared" ref="K33:K34" si="7">G129</f>
        <v>0.8478850099</v>
      </c>
      <c r="M33" s="13" t="s">
        <v>210</v>
      </c>
      <c r="N33" s="14" t="s">
        <v>24</v>
      </c>
      <c r="O33" s="22">
        <f>O32+$O$27*$O$23</f>
        <v>295.6857675</v>
      </c>
      <c r="P33" s="72" t="s">
        <v>211</v>
      </c>
      <c r="Q33" s="13" t="s">
        <v>448</v>
      </c>
      <c r="R33" s="22"/>
      <c r="S33" s="18">
        <f>O62-273</f>
        <v>93.05185828</v>
      </c>
    </row>
    <row r="34">
      <c r="A34" s="74" t="s">
        <v>213</v>
      </c>
      <c r="B34" s="11"/>
      <c r="C34" s="12"/>
      <c r="E34" s="13" t="s">
        <v>68</v>
      </c>
      <c r="F34" s="14" t="s">
        <v>22</v>
      </c>
      <c r="G34" s="18">
        <f t="shared" si="6"/>
        <v>0.016</v>
      </c>
      <c r="I34" s="14" t="s">
        <v>153</v>
      </c>
      <c r="J34" s="14" t="s">
        <v>110</v>
      </c>
      <c r="K34" s="22">
        <f t="shared" si="7"/>
        <v>0.0003655163591</v>
      </c>
      <c r="M34" s="13" t="s">
        <v>215</v>
      </c>
      <c r="N34" s="14" t="s">
        <v>24</v>
      </c>
      <c r="O34" s="22">
        <f>O33+$O$27*$O$24</f>
        <v>295.6858568</v>
      </c>
      <c r="Q34" s="13" t="s">
        <v>449</v>
      </c>
      <c r="R34" s="22"/>
      <c r="S34" s="18">
        <f>O61-273</f>
        <v>83.27220879</v>
      </c>
    </row>
    <row r="35">
      <c r="A35" s="19" t="s">
        <v>65</v>
      </c>
      <c r="B35" s="16" t="s">
        <v>21</v>
      </c>
      <c r="C35" s="40">
        <v>23.0</v>
      </c>
      <c r="E35" s="13" t="s">
        <v>220</v>
      </c>
      <c r="F35" s="14" t="s">
        <v>28</v>
      </c>
      <c r="G35" s="18">
        <f>G34*G33</f>
        <v>0.000368</v>
      </c>
      <c r="I35" s="14" t="s">
        <v>158</v>
      </c>
      <c r="J35" s="14" t="s">
        <v>110</v>
      </c>
      <c r="K35" s="22">
        <f t="shared" ref="K35:K36" si="8">G129</f>
        <v>0.8478850099</v>
      </c>
      <c r="M35" s="13" t="s">
        <v>222</v>
      </c>
      <c r="N35" s="14" t="s">
        <v>24</v>
      </c>
      <c r="O35" s="22">
        <f>O34+$O$27*$O$23</f>
        <v>295.9143567</v>
      </c>
      <c r="P35" s="72" t="s">
        <v>223</v>
      </c>
      <c r="Q35" s="13" t="s">
        <v>450</v>
      </c>
      <c r="R35" s="22"/>
      <c r="S35" s="18">
        <f>O60-273</f>
        <v>73.4925593</v>
      </c>
    </row>
    <row r="36">
      <c r="A36" s="13" t="s">
        <v>68</v>
      </c>
      <c r="B36" s="14" t="s">
        <v>21</v>
      </c>
      <c r="C36" s="30">
        <v>16.0</v>
      </c>
      <c r="E36" s="13" t="s">
        <v>229</v>
      </c>
      <c r="F36" s="14" t="s">
        <v>28</v>
      </c>
      <c r="G36" s="18">
        <f>pi()*(G26)^2</f>
        <v>0.00002827433388</v>
      </c>
      <c r="I36" s="14" t="s">
        <v>162</v>
      </c>
      <c r="J36" s="14" t="s">
        <v>110</v>
      </c>
      <c r="K36" s="22">
        <f t="shared" si="8"/>
        <v>0.0003655163591</v>
      </c>
      <c r="M36" s="13" t="s">
        <v>231</v>
      </c>
      <c r="N36" s="14" t="s">
        <v>24</v>
      </c>
      <c r="O36" s="22">
        <f>O35+$O$27*$O$24</f>
        <v>295.914446</v>
      </c>
      <c r="Q36" s="13" t="s">
        <v>451</v>
      </c>
      <c r="R36" s="22"/>
      <c r="S36" s="18">
        <f>O59-273</f>
        <v>63.71290981</v>
      </c>
    </row>
    <row r="37">
      <c r="A37" s="14" t="s">
        <v>233</v>
      </c>
      <c r="B37" s="14" t="s">
        <v>21</v>
      </c>
      <c r="C37" s="30">
        <v>4.0</v>
      </c>
      <c r="E37" s="13" t="s">
        <v>234</v>
      </c>
      <c r="F37" s="14" t="s">
        <v>28</v>
      </c>
      <c r="G37" s="18">
        <f>G35-G36</f>
        <v>0.0003397256661</v>
      </c>
      <c r="I37" s="14" t="s">
        <v>166</v>
      </c>
      <c r="J37" s="14" t="s">
        <v>110</v>
      </c>
      <c r="K37" s="22">
        <f t="shared" ref="K37:K38" si="9">G129</f>
        <v>0.8478850099</v>
      </c>
      <c r="M37" s="13" t="s">
        <v>236</v>
      </c>
      <c r="N37" s="14" t="s">
        <v>24</v>
      </c>
      <c r="O37" s="22">
        <f>O36+$O$27*$O$23</f>
        <v>296.1429458</v>
      </c>
      <c r="P37" s="72" t="s">
        <v>237</v>
      </c>
      <c r="Q37" s="13" t="s">
        <v>452</v>
      </c>
      <c r="R37" s="22"/>
      <c r="S37" s="18">
        <f>O58-273</f>
        <v>53.93326032</v>
      </c>
    </row>
    <row r="38">
      <c r="A38" s="14" t="s">
        <v>239</v>
      </c>
      <c r="B38" s="14" t="s">
        <v>21</v>
      </c>
      <c r="C38" s="30">
        <v>2.5</v>
      </c>
      <c r="E38" s="46" t="s">
        <v>240</v>
      </c>
      <c r="F38" s="28" t="s">
        <v>110</v>
      </c>
      <c r="G38" s="47">
        <f>G32/(G31*G37)</f>
        <v>0.07581587939</v>
      </c>
      <c r="I38" s="14" t="s">
        <v>168</v>
      </c>
      <c r="J38" s="14" t="s">
        <v>110</v>
      </c>
      <c r="K38" s="22">
        <f t="shared" si="9"/>
        <v>0.0003655163591</v>
      </c>
      <c r="M38" s="13" t="s">
        <v>238</v>
      </c>
      <c r="N38" s="14" t="s">
        <v>24</v>
      </c>
      <c r="O38" s="22">
        <f>O37+$O$27*$O$24</f>
        <v>296.1430352</v>
      </c>
      <c r="Q38" s="13" t="s">
        <v>453</v>
      </c>
      <c r="R38" s="22"/>
      <c r="S38" s="18">
        <f>O57-273</f>
        <v>44.15361083</v>
      </c>
    </row>
    <row r="39">
      <c r="A39" s="25" t="s">
        <v>242</v>
      </c>
      <c r="B39" s="76" t="s">
        <v>21</v>
      </c>
      <c r="C39" s="31">
        <v>5.0</v>
      </c>
      <c r="E39" s="69" t="s">
        <v>115</v>
      </c>
      <c r="F39" s="3"/>
      <c r="G39" s="70">
        <f>((1/G29)+(1/G38))^(-1)</f>
        <v>0.06347457657</v>
      </c>
      <c r="I39" s="14" t="s">
        <v>172</v>
      </c>
      <c r="J39" s="14" t="s">
        <v>110</v>
      </c>
      <c r="K39" s="22">
        <f t="shared" ref="K39:K40" si="10">G129</f>
        <v>0.8478850099</v>
      </c>
      <c r="M39" s="13" t="s">
        <v>232</v>
      </c>
      <c r="N39" s="14" t="s">
        <v>24</v>
      </c>
      <c r="O39" s="22">
        <f>O38+$O$27*$O$25</f>
        <v>296.3502838</v>
      </c>
      <c r="P39" s="72" t="s">
        <v>244</v>
      </c>
      <c r="Q39" s="13" t="s">
        <v>454</v>
      </c>
      <c r="R39" s="22"/>
      <c r="S39" s="18">
        <f>O56-273</f>
        <v>34.37396134</v>
      </c>
    </row>
    <row r="40">
      <c r="A40" s="73" t="s">
        <v>245</v>
      </c>
      <c r="B40" s="2"/>
      <c r="C40" s="3"/>
      <c r="I40" s="14" t="s">
        <v>176</v>
      </c>
      <c r="J40" s="14" t="s">
        <v>110</v>
      </c>
      <c r="K40" s="22">
        <f t="shared" si="10"/>
        <v>0.0003655163591</v>
      </c>
      <c r="M40" s="13" t="s">
        <v>224</v>
      </c>
      <c r="N40" s="14" t="s">
        <v>24</v>
      </c>
      <c r="O40" s="22">
        <f>O39+$O$27*$O$26</f>
        <v>296.3503732</v>
      </c>
      <c r="Q40" s="13" t="s">
        <v>178</v>
      </c>
      <c r="R40" s="14" t="s">
        <v>45</v>
      </c>
      <c r="S40" s="68">
        <f>O51-273</f>
        <v>24.59431185</v>
      </c>
    </row>
    <row r="41">
      <c r="A41" s="16" t="s">
        <v>35</v>
      </c>
      <c r="B41" s="16" t="s">
        <v>21</v>
      </c>
      <c r="C41" s="40">
        <v>1.0</v>
      </c>
      <c r="E41" s="53" t="s">
        <v>129</v>
      </c>
      <c r="F41" s="2"/>
      <c r="G41" s="3"/>
      <c r="I41" s="14" t="s">
        <v>179</v>
      </c>
      <c r="J41" s="14" t="s">
        <v>110</v>
      </c>
      <c r="K41" s="22">
        <f t="shared" ref="K41:K42" si="11">G129</f>
        <v>0.8478850099</v>
      </c>
      <c r="M41" s="13" t="s">
        <v>216</v>
      </c>
      <c r="N41" s="14" t="s">
        <v>24</v>
      </c>
      <c r="O41" s="22">
        <f>O40+$O$27*$O$25</f>
        <v>296.5576218</v>
      </c>
      <c r="P41" s="72" t="s">
        <v>248</v>
      </c>
      <c r="Q41" s="13" t="s">
        <v>181</v>
      </c>
      <c r="R41" s="14" t="s">
        <v>45</v>
      </c>
      <c r="S41" s="68">
        <f>O50-273</f>
        <v>24.38706319</v>
      </c>
    </row>
    <row r="42">
      <c r="A42" s="14" t="s">
        <v>39</v>
      </c>
      <c r="B42" s="14" t="s">
        <v>21</v>
      </c>
      <c r="C42" s="30">
        <v>3.0</v>
      </c>
      <c r="I42" s="14" t="s">
        <v>183</v>
      </c>
      <c r="J42" s="14" t="s">
        <v>110</v>
      </c>
      <c r="K42" s="22">
        <f t="shared" si="11"/>
        <v>0.0003655163591</v>
      </c>
      <c r="M42" s="13" t="s">
        <v>212</v>
      </c>
      <c r="N42" s="14" t="s">
        <v>24</v>
      </c>
      <c r="O42" s="22">
        <f>O41+$O$27*$O$26</f>
        <v>296.5577112</v>
      </c>
      <c r="Q42" s="13" t="s">
        <v>184</v>
      </c>
      <c r="R42" s="14" t="s">
        <v>45</v>
      </c>
      <c r="S42" s="68">
        <f>O49-273</f>
        <v>24.38697384</v>
      </c>
    </row>
    <row r="43">
      <c r="A43" s="77" t="s">
        <v>249</v>
      </c>
      <c r="B43" s="11"/>
      <c r="C43" s="12"/>
      <c r="E43" s="9" t="s">
        <v>250</v>
      </c>
      <c r="F43" s="2"/>
      <c r="G43" s="3"/>
      <c r="I43" s="14" t="s">
        <v>186</v>
      </c>
      <c r="J43" s="14" t="s">
        <v>110</v>
      </c>
      <c r="K43" s="22">
        <f t="shared" ref="K43:K44" si="12">G129</f>
        <v>0.8478850099</v>
      </c>
      <c r="M43" s="13" t="s">
        <v>252</v>
      </c>
      <c r="N43" s="14" t="s">
        <v>24</v>
      </c>
      <c r="O43" s="22">
        <f>O42+$O$27*$O$25</f>
        <v>296.7649598</v>
      </c>
      <c r="P43" s="72" t="s">
        <v>253</v>
      </c>
      <c r="Q43" s="13" t="s">
        <v>187</v>
      </c>
      <c r="R43" s="14" t="s">
        <v>45</v>
      </c>
      <c r="S43" s="68">
        <f>O48-273</f>
        <v>24.17972518</v>
      </c>
    </row>
    <row r="44">
      <c r="A44" s="19" t="s">
        <v>35</v>
      </c>
      <c r="B44" s="16" t="s">
        <v>21</v>
      </c>
      <c r="C44" s="40">
        <v>1.0</v>
      </c>
      <c r="E44" s="19" t="s">
        <v>35</v>
      </c>
      <c r="F44" s="16" t="s">
        <v>22</v>
      </c>
      <c r="G44" s="45">
        <f t="shared" ref="G44:G45" si="13">C31/1000</f>
        <v>0.001</v>
      </c>
      <c r="I44" s="14" t="s">
        <v>188</v>
      </c>
      <c r="J44" s="14" t="s">
        <v>110</v>
      </c>
      <c r="K44" s="22">
        <f t="shared" si="12"/>
        <v>0.0003655163591</v>
      </c>
      <c r="M44" s="13" t="s">
        <v>254</v>
      </c>
      <c r="N44" s="14" t="s">
        <v>24</v>
      </c>
      <c r="O44" s="22">
        <f>O43+$O$27*$O$26</f>
        <v>296.7650492</v>
      </c>
      <c r="Q44" s="13" t="s">
        <v>189</v>
      </c>
      <c r="R44" s="14" t="s">
        <v>45</v>
      </c>
      <c r="S44" s="68">
        <f>O47-273</f>
        <v>24.17963584</v>
      </c>
    </row>
    <row r="45">
      <c r="A45" s="13" t="s">
        <v>39</v>
      </c>
      <c r="B45" s="14" t="s">
        <v>21</v>
      </c>
      <c r="C45" s="30">
        <v>1.48</v>
      </c>
      <c r="E45" s="13" t="s">
        <v>39</v>
      </c>
      <c r="F45" s="14" t="s">
        <v>22</v>
      </c>
      <c r="G45" s="18">
        <f t="shared" si="13"/>
        <v>0.003</v>
      </c>
      <c r="I45" s="14" t="s">
        <v>191</v>
      </c>
      <c r="J45" s="14" t="s">
        <v>110</v>
      </c>
      <c r="K45" s="22">
        <f>G129</f>
        <v>0.8478850099</v>
      </c>
      <c r="M45" s="13" t="s">
        <v>255</v>
      </c>
      <c r="N45" s="14" t="s">
        <v>24</v>
      </c>
      <c r="O45" s="22">
        <f>O44+$O$27*$O$25</f>
        <v>296.9722978</v>
      </c>
      <c r="P45" s="72" t="s">
        <v>256</v>
      </c>
      <c r="Q45" s="13" t="s">
        <v>194</v>
      </c>
      <c r="R45" s="14" t="s">
        <v>45</v>
      </c>
      <c r="S45" s="68">
        <f>O46-273</f>
        <v>23.97238718</v>
      </c>
    </row>
    <row r="46">
      <c r="A46" s="13" t="s">
        <v>257</v>
      </c>
      <c r="B46" s="14" t="s">
        <v>21</v>
      </c>
      <c r="C46" s="30">
        <v>0.1</v>
      </c>
      <c r="E46" s="13" t="s">
        <v>239</v>
      </c>
      <c r="F46" s="14" t="s">
        <v>22</v>
      </c>
      <c r="G46" s="18">
        <f>C38/1000</f>
        <v>0.0025</v>
      </c>
      <c r="I46" s="14" t="s">
        <v>197</v>
      </c>
      <c r="J46" s="14" t="s">
        <v>110</v>
      </c>
      <c r="K46" s="22">
        <f>G132</f>
        <v>0.0003655261291</v>
      </c>
      <c r="M46" s="13" t="s">
        <v>259</v>
      </c>
      <c r="N46" s="14" t="s">
        <v>24</v>
      </c>
      <c r="O46" s="22">
        <f>O45+$O$27*$O$26</f>
        <v>296.9723872</v>
      </c>
      <c r="Q46" s="13" t="s">
        <v>199</v>
      </c>
      <c r="R46" s="14" t="s">
        <v>45</v>
      </c>
      <c r="S46" s="68">
        <f>O45-273</f>
        <v>23.97229783</v>
      </c>
    </row>
    <row r="47">
      <c r="A47" s="24" t="s">
        <v>260</v>
      </c>
      <c r="B47" s="25" t="s">
        <v>21</v>
      </c>
      <c r="C47" s="31">
        <v>2.1</v>
      </c>
      <c r="E47" s="13" t="s">
        <v>152</v>
      </c>
      <c r="F47" s="14" t="s">
        <v>52</v>
      </c>
      <c r="G47" s="18">
        <f>C10</f>
        <v>112.1</v>
      </c>
      <c r="I47" s="14" t="s">
        <v>201</v>
      </c>
      <c r="J47" s="14" t="s">
        <v>110</v>
      </c>
      <c r="K47" s="22">
        <f t="shared" ref="K47:K48" si="14">G131</f>
        <v>0.9348266406</v>
      </c>
      <c r="M47" s="13" t="s">
        <v>262</v>
      </c>
      <c r="N47" s="14" t="s">
        <v>24</v>
      </c>
      <c r="O47" s="22">
        <f>O46+$O$27*$O$25</f>
        <v>297.1796358</v>
      </c>
      <c r="P47" s="72" t="s">
        <v>263</v>
      </c>
      <c r="Q47" s="13" t="s">
        <v>204</v>
      </c>
      <c r="R47" s="14" t="s">
        <v>45</v>
      </c>
      <c r="S47" s="68">
        <f>O44-273</f>
        <v>23.76504917</v>
      </c>
    </row>
    <row r="48">
      <c r="A48" s="77" t="s">
        <v>265</v>
      </c>
      <c r="B48" s="11"/>
      <c r="C48" s="12"/>
      <c r="E48" s="32" t="s">
        <v>266</v>
      </c>
      <c r="F48" s="33" t="s">
        <v>110</v>
      </c>
      <c r="G48" s="34">
        <f>LN((G45/G44))/(2*pi()*G46*G47)</f>
        <v>0.6239057138</v>
      </c>
      <c r="I48" s="14" t="s">
        <v>205</v>
      </c>
      <c r="J48" s="14" t="s">
        <v>110</v>
      </c>
      <c r="K48" s="22">
        <f t="shared" si="14"/>
        <v>0.0003655261291</v>
      </c>
      <c r="M48" s="13" t="s">
        <v>267</v>
      </c>
      <c r="N48" s="14" t="s">
        <v>24</v>
      </c>
      <c r="O48" s="22">
        <f>O47+$O$27*$O$26</f>
        <v>297.1797252</v>
      </c>
      <c r="Q48" s="13" t="s">
        <v>207</v>
      </c>
      <c r="R48" s="14" t="s">
        <v>45</v>
      </c>
      <c r="S48" s="68">
        <f>O43-273</f>
        <v>23.76495983</v>
      </c>
    </row>
    <row r="49">
      <c r="A49" s="19" t="s">
        <v>35</v>
      </c>
      <c r="B49" s="16" t="s">
        <v>21</v>
      </c>
      <c r="C49" s="40">
        <v>1.0</v>
      </c>
      <c r="E49" s="9" t="s">
        <v>268</v>
      </c>
      <c r="F49" s="2"/>
      <c r="G49" s="3"/>
      <c r="I49" s="14" t="s">
        <v>209</v>
      </c>
      <c r="J49" s="14" t="s">
        <v>110</v>
      </c>
      <c r="K49" s="22">
        <f t="shared" ref="K49:K50" si="15">G131</f>
        <v>0.9348266406</v>
      </c>
      <c r="M49" s="13" t="s">
        <v>269</v>
      </c>
      <c r="N49" s="14" t="s">
        <v>24</v>
      </c>
      <c r="O49" s="22">
        <f>O48+$O$27*$O$25</f>
        <v>297.3869738</v>
      </c>
      <c r="P49" s="72" t="s">
        <v>270</v>
      </c>
      <c r="Q49" s="13" t="s">
        <v>212</v>
      </c>
      <c r="R49" s="14" t="s">
        <v>45</v>
      </c>
      <c r="S49" s="68">
        <f>O42-273</f>
        <v>23.55771117</v>
      </c>
    </row>
    <row r="50">
      <c r="A50" s="13" t="s">
        <v>39</v>
      </c>
      <c r="B50" s="14" t="s">
        <v>21</v>
      </c>
      <c r="C50" s="30">
        <v>3.5</v>
      </c>
      <c r="E50" s="19" t="s">
        <v>200</v>
      </c>
      <c r="F50" s="16" t="s">
        <v>52</v>
      </c>
      <c r="G50" s="45">
        <f>C9</f>
        <v>155.3</v>
      </c>
      <c r="I50" s="14" t="s">
        <v>214</v>
      </c>
      <c r="J50" s="14" t="s">
        <v>110</v>
      </c>
      <c r="K50" s="22">
        <f t="shared" si="15"/>
        <v>0.0003655261291</v>
      </c>
      <c r="M50" s="13" t="s">
        <v>271</v>
      </c>
      <c r="N50" s="14" t="s">
        <v>24</v>
      </c>
      <c r="O50" s="18">
        <f>O49+$O$27*$O$26</f>
        <v>297.3870632</v>
      </c>
      <c r="Q50" s="13" t="s">
        <v>216</v>
      </c>
      <c r="R50" s="14" t="s">
        <v>45</v>
      </c>
      <c r="S50" s="68">
        <f>O41-273</f>
        <v>23.55762183</v>
      </c>
    </row>
    <row r="51">
      <c r="A51" s="9" t="s">
        <v>74</v>
      </c>
      <c r="B51" s="2"/>
      <c r="C51" s="3"/>
      <c r="E51" s="13" t="s">
        <v>239</v>
      </c>
      <c r="F51" s="14" t="s">
        <v>22</v>
      </c>
      <c r="G51" s="18">
        <f>C38/1000</f>
        <v>0.0025</v>
      </c>
      <c r="I51" s="14" t="s">
        <v>221</v>
      </c>
      <c r="J51" s="14" t="s">
        <v>110</v>
      </c>
      <c r="K51" s="22">
        <f t="shared" ref="K51:K52" si="16">G131</f>
        <v>0.9348266406</v>
      </c>
      <c r="M51" s="46" t="s">
        <v>273</v>
      </c>
      <c r="N51" s="28" t="s">
        <v>24</v>
      </c>
      <c r="O51" s="47">
        <f>O50+$O$27*$O$25</f>
        <v>297.5943118</v>
      </c>
      <c r="P51" s="72" t="s">
        <v>274</v>
      </c>
      <c r="Q51" s="13" t="s">
        <v>224</v>
      </c>
      <c r="R51" s="14" t="s">
        <v>45</v>
      </c>
      <c r="S51" s="68">
        <f>O40-273</f>
        <v>23.35037316</v>
      </c>
    </row>
    <row r="52">
      <c r="A52" s="19" t="s">
        <v>35</v>
      </c>
      <c r="B52" s="16" t="s">
        <v>21</v>
      </c>
      <c r="C52" s="40">
        <f>average(2.1,3.5)</f>
        <v>2.8</v>
      </c>
      <c r="E52" s="13" t="s">
        <v>65</v>
      </c>
      <c r="F52" s="14" t="s">
        <v>22</v>
      </c>
      <c r="G52" s="18">
        <f t="shared" ref="G52:G53" si="17">C35/1000</f>
        <v>0.023</v>
      </c>
      <c r="I52" s="14" t="s">
        <v>230</v>
      </c>
      <c r="J52" s="14" t="s">
        <v>110</v>
      </c>
      <c r="K52" s="22">
        <f t="shared" si="16"/>
        <v>0.0003655261291</v>
      </c>
      <c r="Q52" s="13" t="s">
        <v>232</v>
      </c>
      <c r="R52" s="14" t="s">
        <v>45</v>
      </c>
      <c r="S52" s="68">
        <f>O39-273</f>
        <v>23.35028382</v>
      </c>
    </row>
    <row r="53">
      <c r="A53" s="13" t="s">
        <v>78</v>
      </c>
      <c r="B53" s="14" t="s">
        <v>21</v>
      </c>
      <c r="C53" s="30">
        <v>4.0</v>
      </c>
      <c r="E53" s="13" t="s">
        <v>68</v>
      </c>
      <c r="F53" s="14" t="s">
        <v>22</v>
      </c>
      <c r="G53" s="18">
        <f t="shared" si="17"/>
        <v>0.016</v>
      </c>
      <c r="I53" s="14" t="s">
        <v>235</v>
      </c>
      <c r="J53" s="14" t="s">
        <v>110</v>
      </c>
      <c r="K53" s="22">
        <f t="shared" ref="K53:K54" si="18">G131</f>
        <v>0.9348266406</v>
      </c>
      <c r="M53" s="9" t="s">
        <v>275</v>
      </c>
      <c r="N53" s="2"/>
      <c r="O53" s="3"/>
      <c r="Q53" s="13" t="s">
        <v>238</v>
      </c>
      <c r="R53" s="14" t="s">
        <v>45</v>
      </c>
      <c r="S53" s="68">
        <f>O38-273</f>
        <v>23.14303516</v>
      </c>
    </row>
    <row r="54">
      <c r="A54" s="13" t="s">
        <v>39</v>
      </c>
      <c r="B54" s="14" t="s">
        <v>21</v>
      </c>
      <c r="C54" s="30">
        <v>11.0</v>
      </c>
      <c r="E54" s="13" t="s">
        <v>220</v>
      </c>
      <c r="F54" s="14" t="s">
        <v>28</v>
      </c>
      <c r="G54" s="18">
        <f>G53*G52</f>
        <v>0.000368</v>
      </c>
      <c r="I54" s="14" t="s">
        <v>241</v>
      </c>
      <c r="J54" s="14" t="s">
        <v>110</v>
      </c>
      <c r="K54" s="22">
        <f t="shared" si="18"/>
        <v>0.0003655261291</v>
      </c>
      <c r="M54" s="19" t="s">
        <v>276</v>
      </c>
      <c r="N54" s="16" t="s">
        <v>110</v>
      </c>
      <c r="O54" s="45">
        <f>K12</f>
        <v>40.00999647</v>
      </c>
      <c r="Q54" s="13" t="s">
        <v>236</v>
      </c>
      <c r="R54" s="14" t="s">
        <v>45</v>
      </c>
      <c r="S54" s="68">
        <f>O37-273</f>
        <v>23.14294581</v>
      </c>
    </row>
    <row r="55">
      <c r="A55" s="13" t="s">
        <v>85</v>
      </c>
      <c r="B55" s="14" t="s">
        <v>21</v>
      </c>
      <c r="C55" s="30">
        <v>1.5</v>
      </c>
      <c r="E55" s="13" t="s">
        <v>229</v>
      </c>
      <c r="F55" s="14" t="s">
        <v>28</v>
      </c>
      <c r="G55" s="18">
        <f>pi()*G45^2</f>
        <v>0.00002827433388</v>
      </c>
      <c r="I55" s="14" t="s">
        <v>243</v>
      </c>
      <c r="J55" s="14" t="s">
        <v>110</v>
      </c>
      <c r="K55" s="22">
        <f t="shared" ref="K55:K56" si="19">G131</f>
        <v>0.9348266406</v>
      </c>
      <c r="M55" s="24" t="s">
        <v>277</v>
      </c>
      <c r="N55" s="25" t="s">
        <v>113</v>
      </c>
      <c r="O55" s="71">
        <f>K71</f>
        <v>0.2444301513</v>
      </c>
      <c r="Q55" s="13" t="s">
        <v>231</v>
      </c>
      <c r="R55" s="14" t="s">
        <v>45</v>
      </c>
      <c r="S55" s="68">
        <f>O36-273</f>
        <v>22.914446</v>
      </c>
    </row>
    <row r="56">
      <c r="A56" s="24" t="s">
        <v>90</v>
      </c>
      <c r="B56" s="25" t="s">
        <v>21</v>
      </c>
      <c r="C56" s="31">
        <v>1.0</v>
      </c>
      <c r="E56" s="13" t="s">
        <v>234</v>
      </c>
      <c r="F56" s="14" t="s">
        <v>28</v>
      </c>
      <c r="G56" s="18">
        <f>G54-G55</f>
        <v>0.0003397256661</v>
      </c>
      <c r="I56" s="14" t="s">
        <v>246</v>
      </c>
      <c r="J56" s="14" t="s">
        <v>110</v>
      </c>
      <c r="K56" s="22">
        <f t="shared" si="19"/>
        <v>0.0003655261291</v>
      </c>
      <c r="M56" s="19" t="s">
        <v>455</v>
      </c>
      <c r="N56" s="16" t="s">
        <v>24</v>
      </c>
      <c r="O56" s="64">
        <f>O51+$O$55*$O$54</f>
        <v>307.3739613</v>
      </c>
      <c r="Q56" s="13" t="s">
        <v>222</v>
      </c>
      <c r="R56" s="14" t="s">
        <v>45</v>
      </c>
      <c r="S56" s="68">
        <f>O35-273</f>
        <v>22.91435665</v>
      </c>
    </row>
    <row r="57">
      <c r="E57" s="46" t="s">
        <v>279</v>
      </c>
      <c r="F57" s="28" t="s">
        <v>110</v>
      </c>
      <c r="G57" s="47">
        <f>G51/(G50*G56)</f>
        <v>0.04738492462</v>
      </c>
      <c r="I57" s="28" t="s">
        <v>247</v>
      </c>
      <c r="J57" s="28" t="s">
        <v>110</v>
      </c>
      <c r="K57" s="28">
        <f>SUM(K10:K56)</f>
        <v>850.9588482</v>
      </c>
      <c r="M57" s="13" t="s">
        <v>456</v>
      </c>
      <c r="N57" s="14" t="s">
        <v>24</v>
      </c>
      <c r="O57" s="22">
        <f t="shared" ref="O57:O75" si="20">O56+$O$55*$O$54</f>
        <v>317.1536108</v>
      </c>
      <c r="Q57" s="13" t="s">
        <v>215</v>
      </c>
      <c r="R57" s="14" t="s">
        <v>45</v>
      </c>
      <c r="S57" s="68">
        <f>O34-273</f>
        <v>22.68585683</v>
      </c>
    </row>
    <row r="58">
      <c r="A58" s="72" t="s">
        <v>282</v>
      </c>
      <c r="E58" s="69" t="s">
        <v>129</v>
      </c>
      <c r="F58" s="3"/>
      <c r="G58" s="70">
        <f>((1/G48)+(1/G57))^(-1)</f>
        <v>0.04404012737</v>
      </c>
      <c r="M58" s="13" t="s">
        <v>457</v>
      </c>
      <c r="N58" s="14" t="s">
        <v>24</v>
      </c>
      <c r="O58" s="22">
        <f t="shared" si="20"/>
        <v>326.9332603</v>
      </c>
      <c r="Q58" s="13" t="s">
        <v>210</v>
      </c>
      <c r="R58" s="14" t="s">
        <v>45</v>
      </c>
      <c r="S58" s="68">
        <f>O33-273</f>
        <v>22.68576749</v>
      </c>
    </row>
    <row r="59">
      <c r="I59" s="1" t="s">
        <v>251</v>
      </c>
      <c r="J59" s="2"/>
      <c r="K59" s="3"/>
      <c r="M59" s="13" t="s">
        <v>458</v>
      </c>
      <c r="N59" s="14" t="s">
        <v>24</v>
      </c>
      <c r="O59" s="22">
        <f t="shared" si="20"/>
        <v>336.7129098</v>
      </c>
      <c r="Q59" s="13" t="s">
        <v>206</v>
      </c>
      <c r="R59" s="14" t="s">
        <v>45</v>
      </c>
      <c r="S59" s="68">
        <f>O32-273</f>
        <v>22.45726767</v>
      </c>
    </row>
    <row r="60">
      <c r="E60" s="53" t="s">
        <v>133</v>
      </c>
      <c r="F60" s="2"/>
      <c r="G60" s="3"/>
      <c r="M60" s="13" t="s">
        <v>459</v>
      </c>
      <c r="N60" s="14" t="s">
        <v>24</v>
      </c>
      <c r="O60" s="22">
        <f t="shared" si="20"/>
        <v>346.4925593</v>
      </c>
      <c r="Q60" s="13" t="s">
        <v>202</v>
      </c>
      <c r="R60" s="14" t="s">
        <v>45</v>
      </c>
      <c r="S60" s="68">
        <f>O31-273</f>
        <v>22.45717833</v>
      </c>
    </row>
    <row r="61">
      <c r="I61" s="50" t="s">
        <v>5</v>
      </c>
      <c r="J61" s="7" t="s">
        <v>6</v>
      </c>
      <c r="K61" s="51" t="s">
        <v>7</v>
      </c>
      <c r="M61" s="13" t="s">
        <v>460</v>
      </c>
      <c r="N61" s="14" t="s">
        <v>24</v>
      </c>
      <c r="O61" s="22">
        <f t="shared" si="20"/>
        <v>356.2722088</v>
      </c>
      <c r="Q61" s="13" t="s">
        <v>198</v>
      </c>
      <c r="R61" s="14" t="s">
        <v>45</v>
      </c>
      <c r="S61" s="68">
        <f>O30-273</f>
        <v>22.22867851</v>
      </c>
    </row>
    <row r="62">
      <c r="E62" s="9" t="s">
        <v>288</v>
      </c>
      <c r="F62" s="2"/>
      <c r="G62" s="3"/>
      <c r="I62" s="9" t="s">
        <v>258</v>
      </c>
      <c r="J62" s="2"/>
      <c r="K62" s="3"/>
      <c r="M62" s="13" t="s">
        <v>461</v>
      </c>
      <c r="N62" s="14" t="s">
        <v>24</v>
      </c>
      <c r="O62" s="22">
        <f t="shared" si="20"/>
        <v>366.0518583</v>
      </c>
      <c r="Q62" s="13" t="s">
        <v>192</v>
      </c>
      <c r="R62" s="14" t="s">
        <v>45</v>
      </c>
      <c r="S62" s="68">
        <f>O29-273</f>
        <v>22.22858916</v>
      </c>
    </row>
    <row r="63">
      <c r="E63" s="19" t="s">
        <v>35</v>
      </c>
      <c r="F63" s="16" t="s">
        <v>22</v>
      </c>
      <c r="G63" s="45">
        <f t="shared" ref="G63:G64" si="21">C41/1000</f>
        <v>0.001</v>
      </c>
      <c r="I63" s="13" t="s">
        <v>261</v>
      </c>
      <c r="J63" s="14" t="s">
        <v>24</v>
      </c>
      <c r="K63" s="18">
        <f t="shared" ref="K63:K64" si="22">C6+273</f>
        <v>503</v>
      </c>
      <c r="M63" s="13" t="s">
        <v>462</v>
      </c>
      <c r="N63" s="14" t="s">
        <v>24</v>
      </c>
      <c r="O63" s="22">
        <f t="shared" si="20"/>
        <v>375.8315078</v>
      </c>
      <c r="Q63" s="13" t="s">
        <v>264</v>
      </c>
      <c r="R63" s="14" t="s">
        <v>45</v>
      </c>
      <c r="S63" s="68">
        <f>O28-273</f>
        <v>22.00008935</v>
      </c>
    </row>
    <row r="64">
      <c r="E64" s="13" t="s">
        <v>39</v>
      </c>
      <c r="F64" s="14" t="s">
        <v>22</v>
      </c>
      <c r="G64" s="18">
        <f t="shared" si="21"/>
        <v>0.003</v>
      </c>
      <c r="I64" s="13" t="s">
        <v>111</v>
      </c>
      <c r="J64" s="14" t="s">
        <v>24</v>
      </c>
      <c r="K64" s="18">
        <f t="shared" si="22"/>
        <v>295</v>
      </c>
      <c r="M64" s="13" t="s">
        <v>463</v>
      </c>
      <c r="N64" s="14" t="s">
        <v>24</v>
      </c>
      <c r="O64" s="22">
        <f t="shared" si="20"/>
        <v>385.6111573</v>
      </c>
      <c r="Q64" s="24" t="s">
        <v>142</v>
      </c>
      <c r="R64" s="25" t="s">
        <v>45</v>
      </c>
      <c r="S64" s="78">
        <f>C7</f>
        <v>22</v>
      </c>
    </row>
    <row r="65">
      <c r="E65" s="13" t="s">
        <v>242</v>
      </c>
      <c r="F65" s="14" t="s">
        <v>22</v>
      </c>
      <c r="G65" s="18">
        <f>C39/1000</f>
        <v>0.005</v>
      </c>
      <c r="I65" s="13" t="s">
        <v>120</v>
      </c>
      <c r="J65" s="14" t="s">
        <v>110</v>
      </c>
      <c r="K65" s="18">
        <f>K8</f>
        <v>5126.587034</v>
      </c>
      <c r="M65" s="13" t="s">
        <v>464</v>
      </c>
      <c r="N65" s="14" t="s">
        <v>24</v>
      </c>
      <c r="O65" s="22">
        <f t="shared" si="20"/>
        <v>395.3908068</v>
      </c>
    </row>
    <row r="66">
      <c r="E66" s="13" t="s">
        <v>294</v>
      </c>
      <c r="F66" s="14" t="s">
        <v>52</v>
      </c>
      <c r="G66" s="18">
        <f>C11</f>
        <v>14.58</v>
      </c>
      <c r="I66" s="46" t="s">
        <v>121</v>
      </c>
      <c r="J66" s="28" t="s">
        <v>113</v>
      </c>
      <c r="K66" s="59">
        <f>(K63-K64)/K65</f>
        <v>0.04057280187</v>
      </c>
      <c r="M66" s="13" t="s">
        <v>465</v>
      </c>
      <c r="N66" s="14" t="s">
        <v>24</v>
      </c>
      <c r="O66" s="22">
        <f t="shared" si="20"/>
        <v>405.1704562</v>
      </c>
    </row>
    <row r="67">
      <c r="E67" s="32" t="s">
        <v>297</v>
      </c>
      <c r="F67" s="28" t="s">
        <v>110</v>
      </c>
      <c r="G67" s="34">
        <f>LN((G64/G63))/(2*pi()*G65*G66)</f>
        <v>2.398485271</v>
      </c>
      <c r="I67" s="9" t="s">
        <v>272</v>
      </c>
      <c r="J67" s="2"/>
      <c r="K67" s="3"/>
      <c r="M67" s="13" t="s">
        <v>466</v>
      </c>
      <c r="N67" s="14" t="s">
        <v>24</v>
      </c>
      <c r="O67" s="22">
        <f t="shared" si="20"/>
        <v>414.9501057</v>
      </c>
    </row>
    <row r="68">
      <c r="E68" s="9" t="s">
        <v>300</v>
      </c>
      <c r="F68" s="2"/>
      <c r="G68" s="3"/>
      <c r="I68" s="13" t="s">
        <v>261</v>
      </c>
      <c r="J68" s="14" t="s">
        <v>24</v>
      </c>
      <c r="K68" s="18">
        <f t="shared" ref="K68:K69" si="23">C6+273</f>
        <v>503</v>
      </c>
      <c r="M68" s="13" t="s">
        <v>467</v>
      </c>
      <c r="N68" s="14" t="s">
        <v>24</v>
      </c>
      <c r="O68" s="22">
        <f t="shared" si="20"/>
        <v>424.7297552</v>
      </c>
    </row>
    <row r="69">
      <c r="E69" s="19" t="s">
        <v>200</v>
      </c>
      <c r="F69" s="16" t="s">
        <v>52</v>
      </c>
      <c r="G69" s="45">
        <f>C9</f>
        <v>155.3</v>
      </c>
      <c r="I69" s="13" t="s">
        <v>111</v>
      </c>
      <c r="J69" s="14" t="s">
        <v>24</v>
      </c>
      <c r="K69" s="18">
        <f t="shared" si="23"/>
        <v>295</v>
      </c>
      <c r="M69" s="13" t="s">
        <v>468</v>
      </c>
      <c r="N69" s="14" t="s">
        <v>24</v>
      </c>
      <c r="O69" s="22">
        <f t="shared" si="20"/>
        <v>434.5094047</v>
      </c>
    </row>
    <row r="70">
      <c r="E70" s="13" t="s">
        <v>242</v>
      </c>
      <c r="F70" s="14" t="s">
        <v>22</v>
      </c>
      <c r="G70" s="18">
        <f>C39/1000</f>
        <v>0.005</v>
      </c>
      <c r="I70" s="13" t="s">
        <v>247</v>
      </c>
      <c r="J70" s="14" t="s">
        <v>110</v>
      </c>
      <c r="K70" s="18">
        <f>K57</f>
        <v>850.9588482</v>
      </c>
      <c r="M70" s="13" t="s">
        <v>469</v>
      </c>
      <c r="N70" s="14" t="s">
        <v>24</v>
      </c>
      <c r="O70" s="22">
        <f t="shared" si="20"/>
        <v>444.2890542</v>
      </c>
    </row>
    <row r="71">
      <c r="E71" s="13" t="s">
        <v>65</v>
      </c>
      <c r="F71" s="14" t="s">
        <v>22</v>
      </c>
      <c r="G71" s="18">
        <f t="shared" ref="G71:G72" si="24">C35/1000</f>
        <v>0.023</v>
      </c>
      <c r="I71" s="46" t="s">
        <v>159</v>
      </c>
      <c r="J71" s="28" t="s">
        <v>113</v>
      </c>
      <c r="K71" s="59">
        <f>(K68-K69)/K70</f>
        <v>0.2444301513</v>
      </c>
      <c r="M71" s="13" t="s">
        <v>470</v>
      </c>
      <c r="N71" s="14" t="s">
        <v>24</v>
      </c>
      <c r="O71" s="22">
        <f t="shared" si="20"/>
        <v>454.0687037</v>
      </c>
    </row>
    <row r="72">
      <c r="E72" s="13" t="s">
        <v>68</v>
      </c>
      <c r="F72" s="14" t="s">
        <v>22</v>
      </c>
      <c r="G72" s="18">
        <f t="shared" si="24"/>
        <v>0.016</v>
      </c>
      <c r="M72" s="13" t="s">
        <v>471</v>
      </c>
      <c r="N72" s="14" t="s">
        <v>24</v>
      </c>
      <c r="O72" s="22">
        <f t="shared" si="20"/>
        <v>463.8483532</v>
      </c>
    </row>
    <row r="73">
      <c r="E73" s="13" t="s">
        <v>220</v>
      </c>
      <c r="F73" s="14" t="s">
        <v>28</v>
      </c>
      <c r="G73" s="18">
        <f>G71*G72</f>
        <v>0.000368</v>
      </c>
      <c r="I73" s="1" t="s">
        <v>280</v>
      </c>
      <c r="J73" s="2"/>
      <c r="K73" s="3"/>
      <c r="M73" s="13" t="s">
        <v>472</v>
      </c>
      <c r="N73" s="14" t="s">
        <v>24</v>
      </c>
      <c r="O73" s="22">
        <f t="shared" si="20"/>
        <v>473.6280027</v>
      </c>
    </row>
    <row r="74">
      <c r="E74" s="13" t="s">
        <v>229</v>
      </c>
      <c r="F74" s="14" t="s">
        <v>28</v>
      </c>
      <c r="G74" s="18">
        <f>pi()*G64^2</f>
        <v>0.00002827433388</v>
      </c>
      <c r="M74" s="13" t="s">
        <v>473</v>
      </c>
      <c r="N74" s="14" t="s">
        <v>24</v>
      </c>
      <c r="O74" s="22">
        <f t="shared" si="20"/>
        <v>483.4076522</v>
      </c>
    </row>
    <row r="75">
      <c r="E75" s="13" t="s">
        <v>234</v>
      </c>
      <c r="F75" s="14" t="s">
        <v>28</v>
      </c>
      <c r="G75" s="18">
        <f>G73-G74</f>
        <v>0.0003397256661</v>
      </c>
      <c r="I75" s="9" t="s">
        <v>284</v>
      </c>
      <c r="J75" s="2"/>
      <c r="K75" s="3"/>
      <c r="M75" s="24" t="s">
        <v>291</v>
      </c>
      <c r="N75" s="25" t="s">
        <v>24</v>
      </c>
      <c r="O75" s="79">
        <f t="shared" si="20"/>
        <v>493.1873017</v>
      </c>
    </row>
    <row r="76">
      <c r="E76" s="46" t="s">
        <v>303</v>
      </c>
      <c r="F76" s="28" t="s">
        <v>110</v>
      </c>
      <c r="G76" s="47">
        <f>G70/(G69*G75)</f>
        <v>0.09476984924</v>
      </c>
      <c r="I76" s="19" t="s">
        <v>147</v>
      </c>
      <c r="J76" s="16" t="s">
        <v>55</v>
      </c>
      <c r="K76" s="45">
        <f>C17</f>
        <v>1240</v>
      </c>
    </row>
    <row r="77">
      <c r="E77" s="69" t="s">
        <v>133</v>
      </c>
      <c r="F77" s="3"/>
      <c r="G77" s="70">
        <f>((1/G67)+(1/G76))^(-1)</f>
        <v>0.09116760082</v>
      </c>
      <c r="I77" s="13" t="s">
        <v>286</v>
      </c>
      <c r="J77" s="14" t="s">
        <v>15</v>
      </c>
      <c r="K77" s="80">
        <f>C18/10^9</f>
        <v>0.000000015</v>
      </c>
      <c r="M77" s="9" t="s">
        <v>287</v>
      </c>
      <c r="N77" s="2"/>
      <c r="O77" s="3"/>
    </row>
    <row r="78">
      <c r="I78" s="46" t="s">
        <v>289</v>
      </c>
      <c r="J78" s="28" t="s">
        <v>290</v>
      </c>
      <c r="K78" s="81">
        <f>K77*K76</f>
        <v>0.0000186</v>
      </c>
      <c r="M78" s="13" t="s">
        <v>291</v>
      </c>
      <c r="N78" s="14" t="s">
        <v>24</v>
      </c>
      <c r="O78" s="18">
        <f>O75</f>
        <v>493.1873017</v>
      </c>
    </row>
    <row r="79">
      <c r="E79" s="53" t="s">
        <v>292</v>
      </c>
      <c r="F79" s="2"/>
      <c r="G79" s="3"/>
      <c r="I79" s="9" t="s">
        <v>127</v>
      </c>
      <c r="J79" s="2"/>
      <c r="K79" s="3"/>
      <c r="M79" s="13" t="s">
        <v>292</v>
      </c>
      <c r="N79" s="14" t="s">
        <v>110</v>
      </c>
      <c r="O79" s="18">
        <f>K32</f>
        <v>40.00999647</v>
      </c>
    </row>
    <row r="80">
      <c r="I80" s="13" t="s">
        <v>289</v>
      </c>
      <c r="J80" s="16" t="s">
        <v>290</v>
      </c>
      <c r="K80" s="36">
        <f>K78</f>
        <v>0.0000186</v>
      </c>
      <c r="M80" s="13" t="s">
        <v>159</v>
      </c>
      <c r="N80" s="14" t="s">
        <v>113</v>
      </c>
      <c r="O80" s="18">
        <f>K71</f>
        <v>0.2444301513</v>
      </c>
    </row>
    <row r="81">
      <c r="E81" s="9" t="s">
        <v>304</v>
      </c>
      <c r="F81" s="2"/>
      <c r="G81" s="3"/>
      <c r="I81" s="13" t="s">
        <v>293</v>
      </c>
      <c r="J81" s="14" t="s">
        <v>157</v>
      </c>
      <c r="K81" s="18">
        <f>C19</f>
        <v>1800</v>
      </c>
      <c r="M81" s="46" t="s">
        <v>160</v>
      </c>
      <c r="N81" s="28" t="s">
        <v>24</v>
      </c>
      <c r="O81" s="59">
        <f>O78+O79*O80</f>
        <v>502.9669512</v>
      </c>
    </row>
    <row r="82">
      <c r="E82" s="19" t="s">
        <v>35</v>
      </c>
      <c r="F82" s="16" t="s">
        <v>22</v>
      </c>
      <c r="G82" s="45">
        <f t="shared" ref="G82:G84" si="25">C44/1000</f>
        <v>0.001</v>
      </c>
      <c r="I82" s="13" t="s">
        <v>295</v>
      </c>
      <c r="J82" s="14" t="s">
        <v>24</v>
      </c>
      <c r="K82" s="18">
        <f t="shared" ref="K82:K83" si="26">C20+273</f>
        <v>333</v>
      </c>
      <c r="M82" s="9" t="s">
        <v>296</v>
      </c>
      <c r="N82" s="2"/>
      <c r="O82" s="3"/>
    </row>
    <row r="83">
      <c r="E83" s="13" t="s">
        <v>39</v>
      </c>
      <c r="F83" s="14" t="s">
        <v>22</v>
      </c>
      <c r="G83" s="18">
        <f t="shared" si="25"/>
        <v>0.00148</v>
      </c>
      <c r="I83" s="13" t="s">
        <v>298</v>
      </c>
      <c r="J83" s="14" t="s">
        <v>24</v>
      </c>
      <c r="K83" s="18">
        <f t="shared" si="26"/>
        <v>503</v>
      </c>
      <c r="M83" s="13" t="s">
        <v>299</v>
      </c>
      <c r="N83" s="14" t="s">
        <v>24</v>
      </c>
      <c r="O83" s="18">
        <f>O81</f>
        <v>502.9669512</v>
      </c>
    </row>
    <row r="84">
      <c r="E84" s="13" t="s">
        <v>43</v>
      </c>
      <c r="F84" s="14" t="s">
        <v>22</v>
      </c>
      <c r="G84" s="18">
        <f t="shared" si="25"/>
        <v>0.0001</v>
      </c>
      <c r="I84" s="46" t="s">
        <v>301</v>
      </c>
      <c r="J84" s="28" t="s">
        <v>113</v>
      </c>
      <c r="K84" s="82">
        <f>K80*K81*(K83-K82)</f>
        <v>5.6916</v>
      </c>
      <c r="M84" s="13" t="s">
        <v>133</v>
      </c>
      <c r="N84" s="14" t="s">
        <v>110</v>
      </c>
      <c r="O84" s="18">
        <f>K11</f>
        <v>0.09116760082</v>
      </c>
    </row>
    <row r="85">
      <c r="E85" s="13" t="s">
        <v>294</v>
      </c>
      <c r="F85" s="14" t="s">
        <v>52</v>
      </c>
      <c r="G85" s="18">
        <f>C11</f>
        <v>14.58</v>
      </c>
      <c r="M85" s="13" t="s">
        <v>159</v>
      </c>
      <c r="N85" s="14" t="s">
        <v>113</v>
      </c>
      <c r="O85" s="18">
        <f>K71</f>
        <v>0.2444301513</v>
      </c>
    </row>
    <row r="86">
      <c r="E86" s="32" t="s">
        <v>308</v>
      </c>
      <c r="F86" s="33" t="s">
        <v>110</v>
      </c>
      <c r="G86" s="34">
        <f>LN((G83/G82))/(2*pi()*G84*G85)</f>
        <v>42.79522371</v>
      </c>
      <c r="I86" s="1" t="s">
        <v>302</v>
      </c>
      <c r="J86" s="2"/>
      <c r="K86" s="3"/>
      <c r="M86" s="46" t="s">
        <v>160</v>
      </c>
      <c r="N86" s="28" t="s">
        <v>24</v>
      </c>
      <c r="O86" s="59">
        <f>O83+O84*O85</f>
        <v>502.9892353</v>
      </c>
    </row>
    <row r="87">
      <c r="E87" s="9" t="s">
        <v>309</v>
      </c>
      <c r="F87" s="2"/>
      <c r="G87" s="3"/>
    </row>
    <row r="88">
      <c r="E88" s="19" t="s">
        <v>310</v>
      </c>
      <c r="F88" s="16" t="s">
        <v>19</v>
      </c>
      <c r="G88" s="61">
        <f>C13</f>
        <v>4.504503146</v>
      </c>
      <c r="I88" s="50" t="s">
        <v>5</v>
      </c>
      <c r="J88" s="7" t="s">
        <v>6</v>
      </c>
      <c r="K88" s="51" t="s">
        <v>7</v>
      </c>
    </row>
    <row r="89">
      <c r="E89" s="13" t="s">
        <v>65</v>
      </c>
      <c r="F89" s="14" t="s">
        <v>22</v>
      </c>
      <c r="G89" s="18">
        <f t="shared" ref="G89:G90" si="27">C35/1000</f>
        <v>0.023</v>
      </c>
      <c r="I89" s="9" t="s">
        <v>258</v>
      </c>
      <c r="J89" s="2"/>
      <c r="K89" s="3"/>
    </row>
    <row r="90">
      <c r="E90" s="13" t="s">
        <v>68</v>
      </c>
      <c r="F90" s="14" t="s">
        <v>22</v>
      </c>
      <c r="G90" s="18">
        <f t="shared" si="27"/>
        <v>0.016</v>
      </c>
      <c r="I90" s="13" t="s">
        <v>121</v>
      </c>
      <c r="J90" s="14" t="s">
        <v>113</v>
      </c>
      <c r="K90" s="18">
        <f>K66</f>
        <v>0.04057280187</v>
      </c>
    </row>
    <row r="91">
      <c r="E91" s="13" t="s">
        <v>220</v>
      </c>
      <c r="F91" s="14" t="s">
        <v>28</v>
      </c>
      <c r="G91" s="18">
        <f>G90*G89</f>
        <v>0.000368</v>
      </c>
      <c r="I91" s="13" t="s">
        <v>159</v>
      </c>
      <c r="J91" s="14" t="s">
        <v>113</v>
      </c>
      <c r="K91" s="18">
        <f>K71</f>
        <v>0.2444301513</v>
      </c>
    </row>
    <row r="92">
      <c r="E92" s="13" t="s">
        <v>229</v>
      </c>
      <c r="F92" s="14" t="s">
        <v>28</v>
      </c>
      <c r="G92" s="18">
        <f>pi()*G83^2</f>
        <v>0.000006881344548</v>
      </c>
      <c r="I92" s="13" t="s">
        <v>301</v>
      </c>
      <c r="J92" s="14" t="s">
        <v>113</v>
      </c>
      <c r="K92" s="83">
        <f>K84</f>
        <v>5.6916</v>
      </c>
    </row>
    <row r="93">
      <c r="E93" s="13" t="s">
        <v>234</v>
      </c>
      <c r="F93" s="14" t="s">
        <v>28</v>
      </c>
      <c r="G93" s="18">
        <f>G91-G92</f>
        <v>0.0003611186555</v>
      </c>
      <c r="I93" s="46" t="s">
        <v>112</v>
      </c>
      <c r="J93" s="28" t="s">
        <v>113</v>
      </c>
      <c r="K93" s="59">
        <f>SUM(K90:K92)</f>
        <v>5.976602953</v>
      </c>
    </row>
    <row r="94">
      <c r="E94" s="46" t="s">
        <v>313</v>
      </c>
      <c r="F94" s="25" t="s">
        <v>110</v>
      </c>
      <c r="G94" s="59">
        <f>1/(G88*G93)</f>
        <v>614.7565727</v>
      </c>
    </row>
    <row r="95">
      <c r="E95" s="69" t="s">
        <v>292</v>
      </c>
      <c r="F95" s="3"/>
      <c r="G95" s="70">
        <f>((1/G86)+(1/G94))^(-1)</f>
        <v>40.00999647</v>
      </c>
    </row>
    <row r="97">
      <c r="E97" s="89" t="s">
        <v>318</v>
      </c>
      <c r="F97" s="2"/>
      <c r="G97" s="3"/>
    </row>
    <row r="99">
      <c r="E99" s="9" t="s">
        <v>319</v>
      </c>
      <c r="F99" s="2"/>
      <c r="G99" s="3"/>
    </row>
    <row r="100">
      <c r="E100" s="19" t="s">
        <v>35</v>
      </c>
      <c r="F100" s="16" t="s">
        <v>22</v>
      </c>
      <c r="G100" s="45">
        <f>C52/1000</f>
        <v>0.0028</v>
      </c>
    </row>
    <row r="101">
      <c r="E101" s="13" t="s">
        <v>39</v>
      </c>
      <c r="F101" s="14" t="s">
        <v>22</v>
      </c>
      <c r="G101" s="18">
        <f t="shared" ref="G101:G102" si="28">C54/1000</f>
        <v>0.011</v>
      </c>
    </row>
    <row r="102">
      <c r="E102" s="13" t="s">
        <v>43</v>
      </c>
      <c r="F102" s="14" t="s">
        <v>22</v>
      </c>
      <c r="G102" s="18">
        <f t="shared" si="28"/>
        <v>0.0015</v>
      </c>
    </row>
    <row r="103">
      <c r="E103" s="13" t="s">
        <v>200</v>
      </c>
      <c r="F103" s="14" t="s">
        <v>52</v>
      </c>
      <c r="G103" s="18">
        <f>C9</f>
        <v>155.3</v>
      </c>
    </row>
    <row r="104">
      <c r="E104" s="32" t="s">
        <v>320</v>
      </c>
      <c r="F104" s="33" t="s">
        <v>110</v>
      </c>
      <c r="G104" s="34">
        <f>LN((G101/G100))/(2*pi()*G102*G103)</f>
        <v>0.9348266406</v>
      </c>
    </row>
    <row r="105">
      <c r="E105" s="9" t="s">
        <v>321</v>
      </c>
      <c r="F105" s="2"/>
      <c r="G105" s="3"/>
    </row>
    <row r="106">
      <c r="E106" s="19" t="s">
        <v>35</v>
      </c>
      <c r="F106" s="16" t="s">
        <v>22</v>
      </c>
      <c r="G106" s="45">
        <f t="shared" ref="G106:G107" si="29">C49/1000</f>
        <v>0.001</v>
      </c>
    </row>
    <row r="107">
      <c r="E107" s="13" t="s">
        <v>39</v>
      </c>
      <c r="F107" s="14" t="s">
        <v>22</v>
      </c>
      <c r="G107" s="18">
        <f t="shared" si="29"/>
        <v>0.0035</v>
      </c>
    </row>
    <row r="108">
      <c r="E108" s="13" t="s">
        <v>43</v>
      </c>
      <c r="F108" s="14" t="s">
        <v>22</v>
      </c>
      <c r="G108" s="18">
        <f>C55/1000</f>
        <v>0.0015</v>
      </c>
    </row>
    <row r="109">
      <c r="E109" s="13" t="s">
        <v>322</v>
      </c>
      <c r="F109" s="14" t="s">
        <v>52</v>
      </c>
      <c r="G109" s="18">
        <f>C11</f>
        <v>14.58</v>
      </c>
    </row>
    <row r="110">
      <c r="E110" s="32" t="s">
        <v>323</v>
      </c>
      <c r="F110" s="33" t="s">
        <v>110</v>
      </c>
      <c r="G110" s="34">
        <f>LN((G107/G106))/(2*pi()*G108*G109)</f>
        <v>9.116754411</v>
      </c>
    </row>
    <row r="111">
      <c r="E111" s="9" t="s">
        <v>324</v>
      </c>
      <c r="F111" s="2"/>
      <c r="G111" s="3"/>
    </row>
    <row r="112">
      <c r="E112" s="19" t="s">
        <v>35</v>
      </c>
      <c r="F112" s="16" t="s">
        <v>22</v>
      </c>
      <c r="G112" s="45">
        <f t="shared" ref="G112:G113" si="30">C52/1000</f>
        <v>0.0028</v>
      </c>
    </row>
    <row r="113">
      <c r="E113" s="13" t="s">
        <v>39</v>
      </c>
      <c r="F113" s="14" t="s">
        <v>22</v>
      </c>
      <c r="G113" s="18">
        <f t="shared" si="30"/>
        <v>0.004</v>
      </c>
    </row>
    <row r="114">
      <c r="E114" s="13" t="s">
        <v>43</v>
      </c>
      <c r="F114" s="14" t="s">
        <v>22</v>
      </c>
      <c r="G114" s="18">
        <f>C56</f>
        <v>1</v>
      </c>
    </row>
    <row r="115">
      <c r="E115" s="13" t="s">
        <v>200</v>
      </c>
      <c r="F115" s="14" t="s">
        <v>52</v>
      </c>
      <c r="G115" s="18">
        <f>C9</f>
        <v>155.3</v>
      </c>
    </row>
    <row r="116">
      <c r="E116" s="46" t="s">
        <v>325</v>
      </c>
      <c r="F116" s="28" t="s">
        <v>110</v>
      </c>
      <c r="G116" s="47">
        <f>LN((G113/G112))/(2*pi()*G114*G115)</f>
        <v>0.000365528528</v>
      </c>
    </row>
    <row r="117">
      <c r="E117" s="9" t="s">
        <v>326</v>
      </c>
      <c r="F117" s="2"/>
      <c r="G117" s="3"/>
    </row>
    <row r="118">
      <c r="E118" s="19" t="s">
        <v>35</v>
      </c>
      <c r="F118" s="16" t="s">
        <v>22</v>
      </c>
      <c r="G118" s="45">
        <f t="shared" ref="G118:G119" si="31">C49/1000</f>
        <v>0.001</v>
      </c>
    </row>
    <row r="119">
      <c r="E119" s="13" t="s">
        <v>39</v>
      </c>
      <c r="F119" s="14" t="s">
        <v>22</v>
      </c>
      <c r="G119" s="18">
        <f t="shared" si="31"/>
        <v>0.0035</v>
      </c>
    </row>
    <row r="120">
      <c r="E120" s="13" t="s">
        <v>43</v>
      </c>
      <c r="F120" s="14" t="s">
        <v>22</v>
      </c>
      <c r="G120" s="18">
        <f>C56/1000</f>
        <v>0.001</v>
      </c>
    </row>
    <row r="121">
      <c r="E121" s="13" t="s">
        <v>322</v>
      </c>
      <c r="F121" s="14" t="s">
        <v>52</v>
      </c>
      <c r="G121" s="18">
        <f>C11</f>
        <v>14.58</v>
      </c>
    </row>
    <row r="122">
      <c r="E122" s="32" t="s">
        <v>327</v>
      </c>
      <c r="F122" s="33" t="s">
        <v>110</v>
      </c>
      <c r="G122" s="34">
        <f>LN((G119/G118))/(2*pi()*G120*G121)</f>
        <v>13.67513162</v>
      </c>
    </row>
    <row r="123">
      <c r="E123" s="9" t="s">
        <v>328</v>
      </c>
      <c r="F123" s="2"/>
      <c r="G123" s="3"/>
    </row>
    <row r="124">
      <c r="E124" s="19" t="s">
        <v>329</v>
      </c>
      <c r="F124" s="16" t="s">
        <v>19</v>
      </c>
      <c r="G124" s="61">
        <f>C15</f>
        <v>54.43080556</v>
      </c>
    </row>
    <row r="125">
      <c r="E125" s="13" t="s">
        <v>78</v>
      </c>
      <c r="F125" s="14" t="s">
        <v>22</v>
      </c>
      <c r="G125" s="18">
        <f t="shared" ref="G125:G126" si="32">C53/1000</f>
        <v>0.004</v>
      </c>
    </row>
    <row r="126">
      <c r="E126" s="13" t="s">
        <v>39</v>
      </c>
      <c r="F126" s="14" t="s">
        <v>22</v>
      </c>
      <c r="G126" s="18">
        <f t="shared" si="32"/>
        <v>0.011</v>
      </c>
    </row>
    <row r="127">
      <c r="E127" s="13" t="s">
        <v>330</v>
      </c>
      <c r="F127" s="14" t="s">
        <v>28</v>
      </c>
      <c r="G127" s="18">
        <f>pi()*(G126^2-G125^2)</f>
        <v>0.0003298672286</v>
      </c>
    </row>
    <row r="128">
      <c r="E128" s="46" t="s">
        <v>331</v>
      </c>
      <c r="F128" s="25" t="s">
        <v>110</v>
      </c>
      <c r="G128" s="59">
        <f>1/(G124*G127)</f>
        <v>55.69498181</v>
      </c>
    </row>
    <row r="129">
      <c r="E129" s="69" t="s">
        <v>332</v>
      </c>
      <c r="F129" s="3"/>
      <c r="G129" s="70">
        <f>((1/G104)+(1/G110))^(-1)</f>
        <v>0.8478850099</v>
      </c>
    </row>
    <row r="130">
      <c r="E130" s="69" t="s">
        <v>333</v>
      </c>
      <c r="F130" s="3"/>
      <c r="G130" s="70">
        <f>((1/G116)+(1/G122)+(1/G128))^(-1)</f>
        <v>0.0003655163591</v>
      </c>
    </row>
    <row r="131">
      <c r="E131" s="69" t="s">
        <v>334</v>
      </c>
      <c r="F131" s="3"/>
      <c r="G131" s="70">
        <f>G104</f>
        <v>0.9348266406</v>
      </c>
    </row>
    <row r="132">
      <c r="E132" s="69" t="s">
        <v>335</v>
      </c>
      <c r="F132" s="3"/>
      <c r="G132" s="70">
        <f>((1/G116)+(1/G128))^(-1)</f>
        <v>0.0003655261291</v>
      </c>
    </row>
  </sheetData>
  <mergeCells count="68">
    <mergeCell ref="E58:F58"/>
    <mergeCell ref="E60:G60"/>
    <mergeCell ref="E62:G62"/>
    <mergeCell ref="I62:K62"/>
    <mergeCell ref="I67:K67"/>
    <mergeCell ref="E68:G68"/>
    <mergeCell ref="I73:K73"/>
    <mergeCell ref="I75:K75"/>
    <mergeCell ref="E77:F77"/>
    <mergeCell ref="M77:O77"/>
    <mergeCell ref="E79:G79"/>
    <mergeCell ref="I79:K79"/>
    <mergeCell ref="E81:G81"/>
    <mergeCell ref="M82:O82"/>
    <mergeCell ref="E111:G111"/>
    <mergeCell ref="E117:G117"/>
    <mergeCell ref="E123:G123"/>
    <mergeCell ref="E129:F129"/>
    <mergeCell ref="E130:F130"/>
    <mergeCell ref="E131:F131"/>
    <mergeCell ref="E132:F132"/>
    <mergeCell ref="I86:K86"/>
    <mergeCell ref="E87:G87"/>
    <mergeCell ref="I89:K89"/>
    <mergeCell ref="E95:F95"/>
    <mergeCell ref="E97:G97"/>
    <mergeCell ref="E99:G99"/>
    <mergeCell ref="E105:G105"/>
    <mergeCell ref="M5:O5"/>
    <mergeCell ref="Q5:S5"/>
    <mergeCell ref="A2:C2"/>
    <mergeCell ref="E2:G2"/>
    <mergeCell ref="I2:K2"/>
    <mergeCell ref="M2:O2"/>
    <mergeCell ref="Q2:S2"/>
    <mergeCell ref="I5:K5"/>
    <mergeCell ref="E6:G6"/>
    <mergeCell ref="A5:C5"/>
    <mergeCell ref="A8:C8"/>
    <mergeCell ref="E8:G8"/>
    <mergeCell ref="I9:K9"/>
    <mergeCell ref="M10:O10"/>
    <mergeCell ref="Q10:R10"/>
    <mergeCell ref="Q13:S13"/>
    <mergeCell ref="A12:C12"/>
    <mergeCell ref="E14:G14"/>
    <mergeCell ref="A16:C16"/>
    <mergeCell ref="M16:O16"/>
    <mergeCell ref="E20:F20"/>
    <mergeCell ref="M22:O22"/>
    <mergeCell ref="A23:C23"/>
    <mergeCell ref="E22:G22"/>
    <mergeCell ref="E24:G24"/>
    <mergeCell ref="A26:C26"/>
    <mergeCell ref="A30:C30"/>
    <mergeCell ref="E30:G30"/>
    <mergeCell ref="A33:C33"/>
    <mergeCell ref="A34:C34"/>
    <mergeCell ref="A51:C51"/>
    <mergeCell ref="M53:O53"/>
    <mergeCell ref="I59:K59"/>
    <mergeCell ref="E39:F39"/>
    <mergeCell ref="A40:C40"/>
    <mergeCell ref="E41:G41"/>
    <mergeCell ref="A43:C43"/>
    <mergeCell ref="E43:G43"/>
    <mergeCell ref="A48:C48"/>
    <mergeCell ref="E49:G4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5" max="5" width="69.5"/>
    <col customWidth="1" min="9" max="9" width="72.63"/>
    <col customWidth="1" min="13" max="13" width="38.88"/>
    <col customWidth="1" min="17" max="17" width="29.0"/>
  </cols>
  <sheetData>
    <row r="2">
      <c r="A2" s="1" t="s">
        <v>0</v>
      </c>
      <c r="B2" s="2"/>
      <c r="C2" s="3"/>
      <c r="E2" s="1" t="s">
        <v>99</v>
      </c>
      <c r="F2" s="2"/>
      <c r="G2" s="3"/>
      <c r="I2" s="1" t="s">
        <v>100</v>
      </c>
      <c r="J2" s="2"/>
      <c r="K2" s="3"/>
      <c r="M2" s="1" t="s">
        <v>101</v>
      </c>
      <c r="N2" s="2"/>
      <c r="O2" s="3"/>
      <c r="Q2" s="1" t="s">
        <v>102</v>
      </c>
      <c r="R2" s="2"/>
      <c r="S2" s="3"/>
    </row>
    <row r="4">
      <c r="A4" s="50" t="s">
        <v>5</v>
      </c>
      <c r="B4" s="7" t="s">
        <v>6</v>
      </c>
      <c r="C4" s="51" t="s">
        <v>7</v>
      </c>
      <c r="E4" s="50" t="s">
        <v>5</v>
      </c>
      <c r="F4" s="7" t="s">
        <v>6</v>
      </c>
      <c r="G4" s="51" t="s">
        <v>7</v>
      </c>
      <c r="I4" s="50" t="s">
        <v>5</v>
      </c>
      <c r="J4" s="7" t="s">
        <v>6</v>
      </c>
      <c r="K4" s="51" t="s">
        <v>7</v>
      </c>
      <c r="M4" s="50" t="s">
        <v>5</v>
      </c>
      <c r="N4" s="7" t="s">
        <v>6</v>
      </c>
      <c r="O4" s="51" t="s">
        <v>7</v>
      </c>
      <c r="Q4" s="50" t="s">
        <v>5</v>
      </c>
      <c r="R4" s="7" t="s">
        <v>6</v>
      </c>
      <c r="S4" s="51" t="s">
        <v>7</v>
      </c>
    </row>
    <row r="5">
      <c r="A5" s="52" t="s">
        <v>103</v>
      </c>
      <c r="C5" s="42"/>
      <c r="I5" s="9" t="s">
        <v>104</v>
      </c>
      <c r="J5" s="2"/>
      <c r="K5" s="3"/>
      <c r="M5" s="9" t="s">
        <v>105</v>
      </c>
      <c r="N5" s="2"/>
      <c r="O5" s="3"/>
      <c r="Q5" s="9" t="s">
        <v>106</v>
      </c>
      <c r="R5" s="2"/>
      <c r="S5" s="3"/>
    </row>
    <row r="6">
      <c r="A6" s="19" t="s">
        <v>107</v>
      </c>
      <c r="B6" s="16" t="s">
        <v>45</v>
      </c>
      <c r="C6" s="40">
        <v>230.0</v>
      </c>
      <c r="E6" s="53" t="s">
        <v>108</v>
      </c>
      <c r="F6" s="2"/>
      <c r="G6" s="3"/>
      <c r="I6" s="13" t="s">
        <v>109</v>
      </c>
      <c r="J6" s="14" t="s">
        <v>110</v>
      </c>
      <c r="K6" s="18">
        <f>G20</f>
        <v>5126.523559</v>
      </c>
      <c r="M6" s="13" t="s">
        <v>111</v>
      </c>
      <c r="N6" s="14" t="s">
        <v>24</v>
      </c>
      <c r="O6" s="18">
        <f>C7+273</f>
        <v>295</v>
      </c>
      <c r="Q6" s="19" t="s">
        <v>112</v>
      </c>
      <c r="R6" s="16" t="s">
        <v>113</v>
      </c>
      <c r="S6" s="54">
        <f>K79</f>
        <v>7.652056402</v>
      </c>
    </row>
    <row r="7">
      <c r="A7" s="24" t="s">
        <v>114</v>
      </c>
      <c r="B7" s="25" t="s">
        <v>45</v>
      </c>
      <c r="C7" s="31">
        <v>22.0</v>
      </c>
      <c r="I7" s="13" t="s">
        <v>115</v>
      </c>
      <c r="J7" s="14" t="s">
        <v>110</v>
      </c>
      <c r="K7" s="18">
        <f>G39</f>
        <v>0.06347457657</v>
      </c>
      <c r="M7" s="13" t="s">
        <v>116</v>
      </c>
      <c r="N7" s="14" t="s">
        <v>110</v>
      </c>
      <c r="O7" s="18">
        <f>G13</f>
        <v>5126.227122</v>
      </c>
      <c r="Q7" s="13" t="s">
        <v>117</v>
      </c>
      <c r="R7" s="14" t="s">
        <v>113</v>
      </c>
      <c r="S7" s="129">
        <f>K52</f>
        <v>0.04057280187</v>
      </c>
    </row>
    <row r="8">
      <c r="A8" s="52" t="s">
        <v>118</v>
      </c>
      <c r="C8" s="42"/>
      <c r="E8" s="10" t="s">
        <v>119</v>
      </c>
      <c r="F8" s="11"/>
      <c r="G8" s="12"/>
      <c r="I8" s="46" t="s">
        <v>120</v>
      </c>
      <c r="J8" s="28" t="s">
        <v>110</v>
      </c>
      <c r="K8" s="59">
        <f>SUM(K6:K7)</f>
        <v>5126.587034</v>
      </c>
      <c r="M8" s="13" t="s">
        <v>121</v>
      </c>
      <c r="N8" s="14" t="s">
        <v>113</v>
      </c>
      <c r="O8" s="18">
        <f>K52</f>
        <v>0.04057280187</v>
      </c>
      <c r="Q8" s="13" t="s">
        <v>122</v>
      </c>
      <c r="R8" s="14" t="s">
        <v>113</v>
      </c>
      <c r="S8" s="129">
        <f>K57</f>
        <v>1.919883601</v>
      </c>
    </row>
    <row r="9">
      <c r="A9" s="19" t="s">
        <v>123</v>
      </c>
      <c r="B9" s="16" t="s">
        <v>52</v>
      </c>
      <c r="C9" s="60">
        <v>155.3</v>
      </c>
      <c r="E9" s="19" t="s">
        <v>124</v>
      </c>
      <c r="F9" s="16" t="s">
        <v>19</v>
      </c>
      <c r="G9" s="61">
        <f>C14</f>
        <v>5.519500293</v>
      </c>
      <c r="I9" s="9" t="s">
        <v>125</v>
      </c>
      <c r="J9" s="2"/>
      <c r="K9" s="3"/>
      <c r="M9" s="46" t="s">
        <v>126</v>
      </c>
      <c r="N9" s="28" t="s">
        <v>24</v>
      </c>
      <c r="O9" s="59">
        <f>O6+O7*O8</f>
        <v>502.9853974</v>
      </c>
      <c r="Q9" s="13" t="s">
        <v>127</v>
      </c>
      <c r="R9" s="25" t="s">
        <v>113</v>
      </c>
      <c r="S9" s="62">
        <f>K70</f>
        <v>5.6916</v>
      </c>
    </row>
    <row r="10">
      <c r="A10" s="13" t="s">
        <v>128</v>
      </c>
      <c r="B10" s="14" t="s">
        <v>52</v>
      </c>
      <c r="C10" s="63">
        <v>112.1</v>
      </c>
      <c r="E10" s="13" t="s">
        <v>35</v>
      </c>
      <c r="F10" s="14" t="s">
        <v>22</v>
      </c>
      <c r="G10" s="18">
        <f t="shared" ref="G10:G11" si="1">C27/1000</f>
        <v>0.001</v>
      </c>
      <c r="I10" s="16" t="s">
        <v>129</v>
      </c>
      <c r="J10" s="16" t="s">
        <v>110</v>
      </c>
      <c r="K10" s="64">
        <f>G58</f>
        <v>0.04404012737</v>
      </c>
      <c r="M10" s="9" t="s">
        <v>130</v>
      </c>
      <c r="N10" s="2"/>
      <c r="O10" s="3"/>
      <c r="Q10" s="41" t="s">
        <v>131</v>
      </c>
      <c r="R10" s="3"/>
      <c r="S10" s="130">
        <f>S6-SUM(S7:S9)</f>
        <v>0</v>
      </c>
    </row>
    <row r="11">
      <c r="A11" s="24" t="s">
        <v>132</v>
      </c>
      <c r="B11" s="24" t="s">
        <v>52</v>
      </c>
      <c r="C11" s="66">
        <v>14.58</v>
      </c>
      <c r="E11" s="13" t="s">
        <v>39</v>
      </c>
      <c r="F11" s="14" t="s">
        <v>22</v>
      </c>
      <c r="G11" s="18">
        <f t="shared" si="1"/>
        <v>0.0035</v>
      </c>
      <c r="I11" s="16" t="s">
        <v>133</v>
      </c>
      <c r="J11" s="16" t="s">
        <v>110</v>
      </c>
      <c r="K11" s="64">
        <f>G77</f>
        <v>0.09116760082</v>
      </c>
      <c r="M11" s="13" t="s">
        <v>126</v>
      </c>
      <c r="N11" s="14" t="s">
        <v>24</v>
      </c>
      <c r="O11" s="18">
        <f>O9</f>
        <v>502.9853974</v>
      </c>
    </row>
    <row r="12">
      <c r="A12" s="10" t="s">
        <v>11</v>
      </c>
      <c r="B12" s="11"/>
      <c r="C12" s="12"/>
      <c r="E12" s="13" t="s">
        <v>134</v>
      </c>
      <c r="F12" s="14" t="s">
        <v>28</v>
      </c>
      <c r="G12" s="18">
        <f>pi()*(G11^2-G10^2)</f>
        <v>0.00003534291735</v>
      </c>
      <c r="I12" s="14" t="s">
        <v>135</v>
      </c>
      <c r="J12" s="14" t="s">
        <v>110</v>
      </c>
      <c r="K12" s="18">
        <f t="shared" ref="K12:K18" si="2">$G$95</f>
        <v>13.94156845</v>
      </c>
      <c r="M12" s="13" t="s">
        <v>136</v>
      </c>
      <c r="N12" s="14" t="s">
        <v>110</v>
      </c>
      <c r="O12" s="18">
        <f>G19</f>
        <v>0.2964368406</v>
      </c>
      <c r="Q12" s="50" t="s">
        <v>5</v>
      </c>
      <c r="R12" s="7" t="s">
        <v>6</v>
      </c>
      <c r="S12" s="51" t="s">
        <v>7</v>
      </c>
    </row>
    <row r="13">
      <c r="A13" s="19" t="s">
        <v>18</v>
      </c>
      <c r="B13" s="16" t="s">
        <v>19</v>
      </c>
      <c r="C13" s="40">
        <f>'Natural and Forced Convection C'!S5</f>
        <v>4.504503146</v>
      </c>
      <c r="E13" s="46" t="s">
        <v>116</v>
      </c>
      <c r="F13" s="28" t="s">
        <v>110</v>
      </c>
      <c r="G13" s="59">
        <f>1/(G9*G12)</f>
        <v>5126.227122</v>
      </c>
      <c r="I13" s="14" t="s">
        <v>137</v>
      </c>
      <c r="J13" s="14" t="s">
        <v>110</v>
      </c>
      <c r="K13" s="18">
        <f t="shared" si="2"/>
        <v>13.94156845</v>
      </c>
      <c r="M13" s="13" t="s">
        <v>121</v>
      </c>
      <c r="N13" s="14" t="s">
        <v>113</v>
      </c>
      <c r="O13" s="18">
        <f>K52</f>
        <v>0.04057280187</v>
      </c>
      <c r="Q13" s="9" t="s">
        <v>138</v>
      </c>
      <c r="R13" s="2"/>
      <c r="S13" s="3"/>
    </row>
    <row r="14">
      <c r="A14" s="13" t="s">
        <v>25</v>
      </c>
      <c r="B14" s="14" t="s">
        <v>19</v>
      </c>
      <c r="C14" s="30">
        <f>'Natural and Forced Convection C'!S6</f>
        <v>5.519500293</v>
      </c>
      <c r="E14" s="9" t="s">
        <v>139</v>
      </c>
      <c r="F14" s="2"/>
      <c r="G14" s="3"/>
      <c r="I14" s="14" t="s">
        <v>140</v>
      </c>
      <c r="J14" s="14" t="s">
        <v>110</v>
      </c>
      <c r="K14" s="18">
        <f t="shared" si="2"/>
        <v>13.94156845</v>
      </c>
      <c r="M14" s="46" t="s">
        <v>141</v>
      </c>
      <c r="N14" s="28" t="s">
        <v>24</v>
      </c>
      <c r="O14" s="59">
        <f>O11+O12*O13</f>
        <v>502.9974247</v>
      </c>
      <c r="Q14" s="19" t="s">
        <v>142</v>
      </c>
      <c r="R14" s="16" t="s">
        <v>45</v>
      </c>
      <c r="S14" s="67">
        <f>C7</f>
        <v>22</v>
      </c>
    </row>
    <row r="15">
      <c r="A15" s="24" t="s">
        <v>30</v>
      </c>
      <c r="B15" s="25" t="s">
        <v>19</v>
      </c>
      <c r="C15" s="31">
        <f>'Natural and Forced Convection C'!S7</f>
        <v>54.43080556</v>
      </c>
      <c r="E15" s="19" t="s">
        <v>35</v>
      </c>
      <c r="F15" s="16" t="s">
        <v>22</v>
      </c>
      <c r="G15" s="45">
        <f t="shared" ref="G15:G17" si="3">C27/1000</f>
        <v>0.001</v>
      </c>
      <c r="I15" s="14" t="s">
        <v>143</v>
      </c>
      <c r="J15" s="14" t="s">
        <v>110</v>
      </c>
      <c r="K15" s="18">
        <f t="shared" si="2"/>
        <v>13.94156845</v>
      </c>
      <c r="Q15" s="13" t="s">
        <v>126</v>
      </c>
      <c r="R15" s="14" t="s">
        <v>45</v>
      </c>
      <c r="S15" s="68">
        <f>O9-273</f>
        <v>229.9853974</v>
      </c>
    </row>
    <row r="16">
      <c r="A16" s="9" t="s">
        <v>144</v>
      </c>
      <c r="B16" s="2"/>
      <c r="C16" s="3"/>
      <c r="E16" s="13" t="s">
        <v>39</v>
      </c>
      <c r="F16" s="14" t="s">
        <v>22</v>
      </c>
      <c r="G16" s="18">
        <f t="shared" si="3"/>
        <v>0.0035</v>
      </c>
      <c r="I16" s="14" t="s">
        <v>145</v>
      </c>
      <c r="J16" s="14" t="s">
        <v>110</v>
      </c>
      <c r="K16" s="18">
        <f t="shared" si="2"/>
        <v>13.94156845</v>
      </c>
      <c r="M16" s="9" t="s">
        <v>146</v>
      </c>
      <c r="N16" s="2"/>
      <c r="O16" s="3"/>
      <c r="Q16" s="13" t="s">
        <v>141</v>
      </c>
      <c r="R16" s="14" t="s">
        <v>45</v>
      </c>
      <c r="S16" s="68">
        <f>O14-273</f>
        <v>229.9974247</v>
      </c>
    </row>
    <row r="17">
      <c r="A17" s="19" t="s">
        <v>147</v>
      </c>
      <c r="B17" s="16" t="s">
        <v>55</v>
      </c>
      <c r="C17" s="40">
        <v>1240.0</v>
      </c>
      <c r="E17" s="13" t="s">
        <v>43</v>
      </c>
      <c r="F17" s="14" t="s">
        <v>22</v>
      </c>
      <c r="G17" s="18">
        <f t="shared" si="3"/>
        <v>0.006</v>
      </c>
      <c r="I17" s="14" t="s">
        <v>423</v>
      </c>
      <c r="J17" s="14" t="s">
        <v>110</v>
      </c>
      <c r="K17" s="18">
        <f t="shared" si="2"/>
        <v>13.94156845</v>
      </c>
      <c r="M17" s="13" t="s">
        <v>111</v>
      </c>
      <c r="N17" s="14" t="s">
        <v>24</v>
      </c>
      <c r="O17" s="18">
        <f>C7+273</f>
        <v>295</v>
      </c>
      <c r="Q17" s="13" t="s">
        <v>149</v>
      </c>
      <c r="R17" s="14" t="s">
        <v>45</v>
      </c>
      <c r="S17" s="68">
        <f>C6</f>
        <v>230</v>
      </c>
    </row>
    <row r="18">
      <c r="A18" s="13" t="s">
        <v>150</v>
      </c>
      <c r="B18" s="14" t="s">
        <v>151</v>
      </c>
      <c r="C18" s="30">
        <v>15.0</v>
      </c>
      <c r="E18" s="13" t="s">
        <v>152</v>
      </c>
      <c r="F18" s="14" t="s">
        <v>52</v>
      </c>
      <c r="G18" s="18">
        <f>C10</f>
        <v>112.1</v>
      </c>
      <c r="I18" s="14" t="s">
        <v>424</v>
      </c>
      <c r="J18" s="14" t="s">
        <v>110</v>
      </c>
      <c r="K18" s="18">
        <f t="shared" si="2"/>
        <v>13.94156845</v>
      </c>
      <c r="M18" s="13" t="s">
        <v>154</v>
      </c>
      <c r="N18" s="14" t="s">
        <v>110</v>
      </c>
      <c r="O18" s="18">
        <f>K42</f>
        <v>0.0003655261291</v>
      </c>
      <c r="Q18" s="13" t="s">
        <v>155</v>
      </c>
      <c r="R18" s="14" t="s">
        <v>45</v>
      </c>
      <c r="S18" s="68">
        <f>O72-273</f>
        <v>229.9154481</v>
      </c>
    </row>
    <row r="19">
      <c r="A19" s="13" t="s">
        <v>156</v>
      </c>
      <c r="B19" s="14" t="s">
        <v>157</v>
      </c>
      <c r="C19" s="30">
        <v>1800.0</v>
      </c>
      <c r="E19" s="46" t="s">
        <v>136</v>
      </c>
      <c r="F19" s="28" t="s">
        <v>110</v>
      </c>
      <c r="G19" s="47">
        <f>LN((G16/G15))/(2*pi()*G17*G18)</f>
        <v>0.2964368406</v>
      </c>
      <c r="I19" s="14" t="s">
        <v>148</v>
      </c>
      <c r="J19" s="14" t="s">
        <v>110</v>
      </c>
      <c r="K19" s="22">
        <f t="shared" ref="K19:K20" si="4">G129</f>
        <v>0.8478850099</v>
      </c>
      <c r="M19" s="13" t="s">
        <v>159</v>
      </c>
      <c r="N19" s="14" t="s">
        <v>113</v>
      </c>
      <c r="O19" s="18">
        <f>K57</f>
        <v>1.919883601</v>
      </c>
      <c r="Q19" s="13" t="s">
        <v>160</v>
      </c>
      <c r="R19" s="14" t="s">
        <v>45</v>
      </c>
      <c r="S19" s="68">
        <f>O67-273</f>
        <v>229.7404169</v>
      </c>
    </row>
    <row r="20">
      <c r="A20" s="13" t="s">
        <v>161</v>
      </c>
      <c r="B20" s="14" t="s">
        <v>45</v>
      </c>
      <c r="C20" s="30">
        <v>60.0</v>
      </c>
      <c r="E20" s="69" t="s">
        <v>109</v>
      </c>
      <c r="F20" s="3"/>
      <c r="G20" s="70">
        <f>G13+G19</f>
        <v>5126.523559</v>
      </c>
      <c r="I20" s="14" t="s">
        <v>153</v>
      </c>
      <c r="J20" s="14" t="s">
        <v>110</v>
      </c>
      <c r="K20" s="22">
        <f t="shared" si="4"/>
        <v>0.0003655163591</v>
      </c>
      <c r="M20" s="46" t="s">
        <v>163</v>
      </c>
      <c r="N20" s="28" t="s">
        <v>24</v>
      </c>
      <c r="O20" s="59">
        <f>O17+O18*O19</f>
        <v>295.0007018</v>
      </c>
      <c r="Q20" s="13" t="s">
        <v>164</v>
      </c>
      <c r="R20" s="22"/>
      <c r="S20" s="18">
        <f>O61-273</f>
        <v>202.9742283</v>
      </c>
    </row>
    <row r="21">
      <c r="A21" s="24" t="s">
        <v>165</v>
      </c>
      <c r="B21" s="25" t="s">
        <v>45</v>
      </c>
      <c r="C21" s="31">
        <v>230.0</v>
      </c>
      <c r="I21" s="14" t="s">
        <v>158</v>
      </c>
      <c r="J21" s="14" t="s">
        <v>110</v>
      </c>
      <c r="K21" s="22">
        <f t="shared" ref="K21:K22" si="5">G129</f>
        <v>0.8478850099</v>
      </c>
      <c r="Q21" s="13" t="s">
        <v>167</v>
      </c>
      <c r="R21" s="22"/>
      <c r="S21" s="18">
        <f>O60-273</f>
        <v>176.2080396</v>
      </c>
    </row>
    <row r="22">
      <c r="E22" s="53" t="s">
        <v>115</v>
      </c>
      <c r="F22" s="2"/>
      <c r="G22" s="3"/>
      <c r="I22" s="14" t="s">
        <v>162</v>
      </c>
      <c r="J22" s="14" t="s">
        <v>110</v>
      </c>
      <c r="K22" s="22">
        <f t="shared" si="5"/>
        <v>0.0003655163591</v>
      </c>
      <c r="M22" s="9" t="s">
        <v>169</v>
      </c>
      <c r="N22" s="2"/>
      <c r="O22" s="3"/>
      <c r="Q22" s="13" t="s">
        <v>170</v>
      </c>
      <c r="R22" s="22"/>
      <c r="S22" s="18">
        <f>O59-273</f>
        <v>149.441851</v>
      </c>
    </row>
    <row r="23">
      <c r="A23" s="1" t="s">
        <v>171</v>
      </c>
      <c r="B23" s="2"/>
      <c r="C23" s="3"/>
      <c r="I23" s="14" t="s">
        <v>166</v>
      </c>
      <c r="J23" s="14" t="s">
        <v>110</v>
      </c>
      <c r="K23" s="22">
        <f t="shared" ref="K23:K24" si="6">G129</f>
        <v>0.8478850099</v>
      </c>
      <c r="M23" s="19" t="s">
        <v>173</v>
      </c>
      <c r="N23" s="16" t="s">
        <v>110</v>
      </c>
      <c r="O23" s="45">
        <f t="shared" ref="O23:O24" si="7">K41</f>
        <v>0.9348266406</v>
      </c>
      <c r="Q23" s="13" t="s">
        <v>174</v>
      </c>
      <c r="R23" s="22"/>
      <c r="S23" s="18">
        <f>O58-273</f>
        <v>122.6756624</v>
      </c>
    </row>
    <row r="24">
      <c r="E24" s="9" t="s">
        <v>175</v>
      </c>
      <c r="F24" s="2"/>
      <c r="G24" s="3"/>
      <c r="I24" s="14" t="s">
        <v>168</v>
      </c>
      <c r="J24" s="14" t="s">
        <v>110</v>
      </c>
      <c r="K24" s="22">
        <f t="shared" si="6"/>
        <v>0.0003655163591</v>
      </c>
      <c r="M24" s="13" t="s">
        <v>177</v>
      </c>
      <c r="N24" s="14" t="s">
        <v>110</v>
      </c>
      <c r="O24" s="18">
        <f t="shared" si="7"/>
        <v>0.0003655261291</v>
      </c>
      <c r="Q24" s="13" t="s">
        <v>431</v>
      </c>
      <c r="R24" s="22"/>
      <c r="S24" s="18">
        <f>O57-273</f>
        <v>95.90947373</v>
      </c>
    </row>
    <row r="25">
      <c r="A25" s="50" t="s">
        <v>5</v>
      </c>
      <c r="B25" s="7" t="s">
        <v>6</v>
      </c>
      <c r="C25" s="51" t="s">
        <v>7</v>
      </c>
      <c r="E25" s="19" t="s">
        <v>35</v>
      </c>
      <c r="F25" s="16" t="s">
        <v>22</v>
      </c>
      <c r="G25" s="45">
        <f t="shared" ref="G25:G26" si="8">C31/1000</f>
        <v>0.001</v>
      </c>
      <c r="I25" s="14" t="s">
        <v>172</v>
      </c>
      <c r="J25" s="14" t="s">
        <v>110</v>
      </c>
      <c r="K25" s="22">
        <f t="shared" ref="K25:K26" si="9">G129</f>
        <v>0.8478850099</v>
      </c>
      <c r="M25" s="13" t="s">
        <v>180</v>
      </c>
      <c r="N25" s="14" t="s">
        <v>110</v>
      </c>
      <c r="O25" s="18">
        <f>K31</f>
        <v>0.8478850099</v>
      </c>
      <c r="Q25" s="13" t="s">
        <v>433</v>
      </c>
      <c r="R25" s="22"/>
      <c r="S25" s="18">
        <f>O56-273</f>
        <v>69.1432851</v>
      </c>
    </row>
    <row r="26">
      <c r="A26" s="9" t="s">
        <v>182</v>
      </c>
      <c r="B26" s="2"/>
      <c r="C26" s="3"/>
      <c r="E26" s="13" t="s">
        <v>39</v>
      </c>
      <c r="F26" s="14" t="s">
        <v>22</v>
      </c>
      <c r="G26" s="18">
        <f t="shared" si="8"/>
        <v>0.003</v>
      </c>
      <c r="I26" s="14" t="s">
        <v>176</v>
      </c>
      <c r="J26" s="14" t="s">
        <v>110</v>
      </c>
      <c r="K26" s="22">
        <f t="shared" si="9"/>
        <v>0.0003655163591</v>
      </c>
      <c r="M26" s="13" t="s">
        <v>177</v>
      </c>
      <c r="N26" s="14" t="s">
        <v>110</v>
      </c>
      <c r="O26" s="18">
        <f>K30</f>
        <v>0.0003655163591</v>
      </c>
      <c r="Q26" s="13" t="s">
        <v>178</v>
      </c>
      <c r="R26" s="14" t="s">
        <v>45</v>
      </c>
      <c r="S26" s="68">
        <f>O51-273</f>
        <v>42.37709646</v>
      </c>
    </row>
    <row r="27">
      <c r="A27" s="19" t="s">
        <v>35</v>
      </c>
      <c r="B27" s="16" t="s">
        <v>21</v>
      </c>
      <c r="C27" s="40">
        <v>1.0</v>
      </c>
      <c r="E27" s="13" t="s">
        <v>185</v>
      </c>
      <c r="F27" s="14" t="s">
        <v>22</v>
      </c>
      <c r="G27" s="18">
        <f>C37/1000</f>
        <v>0.004</v>
      </c>
      <c r="I27" s="14" t="s">
        <v>179</v>
      </c>
      <c r="J27" s="14" t="s">
        <v>110</v>
      </c>
      <c r="K27" s="22">
        <f t="shared" ref="K27:K28" si="10">G129</f>
        <v>0.8478850099</v>
      </c>
      <c r="M27" s="24" t="s">
        <v>159</v>
      </c>
      <c r="N27" s="25" t="s">
        <v>113</v>
      </c>
      <c r="O27" s="71">
        <f>K57</f>
        <v>1.919883601</v>
      </c>
      <c r="Q27" s="13" t="s">
        <v>181</v>
      </c>
      <c r="R27" s="14" t="s">
        <v>45</v>
      </c>
      <c r="S27" s="68">
        <f>O50-273</f>
        <v>40.74925594</v>
      </c>
    </row>
    <row r="28">
      <c r="A28" s="13" t="s">
        <v>39</v>
      </c>
      <c r="B28" s="14" t="s">
        <v>21</v>
      </c>
      <c r="C28" s="30">
        <v>3.5</v>
      </c>
      <c r="E28" s="13" t="s">
        <v>152</v>
      </c>
      <c r="F28" s="14" t="s">
        <v>52</v>
      </c>
      <c r="G28" s="18">
        <f>C10</f>
        <v>112.1</v>
      </c>
      <c r="I28" s="14" t="s">
        <v>183</v>
      </c>
      <c r="J28" s="14" t="s">
        <v>110</v>
      </c>
      <c r="K28" s="22">
        <f t="shared" si="10"/>
        <v>0.0003655163591</v>
      </c>
      <c r="M28" s="19" t="s">
        <v>163</v>
      </c>
      <c r="N28" s="16" t="s">
        <v>24</v>
      </c>
      <c r="O28" s="64">
        <f>O20</f>
        <v>295.0007018</v>
      </c>
      <c r="Q28" s="13" t="s">
        <v>184</v>
      </c>
      <c r="R28" s="14" t="s">
        <v>45</v>
      </c>
      <c r="S28" s="68">
        <f>O49-273</f>
        <v>40.74855419</v>
      </c>
    </row>
    <row r="29">
      <c r="A29" s="24" t="s">
        <v>43</v>
      </c>
      <c r="B29" s="25" t="s">
        <v>21</v>
      </c>
      <c r="C29" s="31">
        <v>6.0</v>
      </c>
      <c r="E29" s="32" t="s">
        <v>190</v>
      </c>
      <c r="F29" s="33" t="s">
        <v>110</v>
      </c>
      <c r="G29" s="34">
        <f>LN((G26/G25))/(2*pi()*G27*G28)</f>
        <v>0.3899410711</v>
      </c>
      <c r="I29" s="14" t="s">
        <v>186</v>
      </c>
      <c r="J29" s="14" t="s">
        <v>110</v>
      </c>
      <c r="K29" s="22">
        <f t="shared" ref="K29:K30" si="11">G129</f>
        <v>0.8478850099</v>
      </c>
      <c r="M29" s="13" t="s">
        <v>192</v>
      </c>
      <c r="N29" s="14" t="s">
        <v>24</v>
      </c>
      <c r="O29" s="22">
        <f>O28+$O$27*$O$23</f>
        <v>296.7954601</v>
      </c>
      <c r="P29" s="72" t="s">
        <v>193</v>
      </c>
      <c r="Q29" s="13" t="s">
        <v>187</v>
      </c>
      <c r="R29" s="14" t="s">
        <v>45</v>
      </c>
      <c r="S29" s="68">
        <f>O48-273</f>
        <v>39.12071366</v>
      </c>
    </row>
    <row r="30">
      <c r="A30" s="73" t="s">
        <v>195</v>
      </c>
      <c r="B30" s="2"/>
      <c r="C30" s="3"/>
      <c r="E30" s="9" t="s">
        <v>196</v>
      </c>
      <c r="F30" s="2"/>
      <c r="G30" s="3"/>
      <c r="I30" s="14" t="s">
        <v>188</v>
      </c>
      <c r="J30" s="14" t="s">
        <v>110</v>
      </c>
      <c r="K30" s="22">
        <f t="shared" si="11"/>
        <v>0.0003655163591</v>
      </c>
      <c r="M30" s="13" t="s">
        <v>198</v>
      </c>
      <c r="N30" s="14" t="s">
        <v>24</v>
      </c>
      <c r="O30" s="22">
        <f>O29+$O$27*$O$24</f>
        <v>296.7961619</v>
      </c>
      <c r="Q30" s="13" t="s">
        <v>189</v>
      </c>
      <c r="R30" s="14" t="s">
        <v>45</v>
      </c>
      <c r="S30" s="68">
        <f>O47-273</f>
        <v>39.12001191</v>
      </c>
    </row>
    <row r="31">
      <c r="A31" s="16" t="s">
        <v>35</v>
      </c>
      <c r="B31" s="16" t="s">
        <v>21</v>
      </c>
      <c r="C31" s="40">
        <v>1.0</v>
      </c>
      <c r="E31" s="13" t="s">
        <v>200</v>
      </c>
      <c r="F31" s="14" t="s">
        <v>52</v>
      </c>
      <c r="G31" s="45">
        <f>C9</f>
        <v>155.3</v>
      </c>
      <c r="I31" s="14" t="s">
        <v>191</v>
      </c>
      <c r="J31" s="14" t="s">
        <v>110</v>
      </c>
      <c r="K31" s="22">
        <f>G129</f>
        <v>0.8478850099</v>
      </c>
      <c r="M31" s="13" t="s">
        <v>202</v>
      </c>
      <c r="N31" s="14" t="s">
        <v>24</v>
      </c>
      <c r="O31" s="22">
        <f>O30+$O$27*$O$23</f>
        <v>298.5909202</v>
      </c>
      <c r="P31" s="72" t="s">
        <v>203</v>
      </c>
      <c r="Q31" s="13" t="s">
        <v>194</v>
      </c>
      <c r="R31" s="14" t="s">
        <v>45</v>
      </c>
      <c r="S31" s="68">
        <f>O46-273</f>
        <v>37.49217139</v>
      </c>
    </row>
    <row r="32">
      <c r="A32" s="14" t="s">
        <v>39</v>
      </c>
      <c r="B32" s="14" t="s">
        <v>21</v>
      </c>
      <c r="C32" s="30">
        <v>3.0</v>
      </c>
      <c r="E32" s="13" t="s">
        <v>185</v>
      </c>
      <c r="F32" s="14" t="s">
        <v>22</v>
      </c>
      <c r="G32" s="18">
        <f>C37/1000</f>
        <v>0.004</v>
      </c>
      <c r="I32" s="14" t="s">
        <v>197</v>
      </c>
      <c r="J32" s="14" t="s">
        <v>110</v>
      </c>
      <c r="K32" s="22">
        <f>G132</f>
        <v>0.0003655261291</v>
      </c>
      <c r="M32" s="13" t="s">
        <v>206</v>
      </c>
      <c r="N32" s="14" t="s">
        <v>24</v>
      </c>
      <c r="O32" s="22">
        <f>O31+$O$27*$O$24</f>
        <v>298.591622</v>
      </c>
      <c r="Q32" s="13" t="s">
        <v>199</v>
      </c>
      <c r="R32" s="14" t="s">
        <v>45</v>
      </c>
      <c r="S32" s="68">
        <f>O45-273</f>
        <v>37.49146964</v>
      </c>
    </row>
    <row r="33">
      <c r="A33" s="9" t="s">
        <v>208</v>
      </c>
      <c r="B33" s="2"/>
      <c r="C33" s="3"/>
      <c r="E33" s="13" t="s">
        <v>65</v>
      </c>
      <c r="F33" s="14" t="s">
        <v>22</v>
      </c>
      <c r="G33" s="18">
        <f t="shared" ref="G33:G34" si="12">C35/1000</f>
        <v>0.023</v>
      </c>
      <c r="I33" s="14" t="s">
        <v>201</v>
      </c>
      <c r="J33" s="14" t="s">
        <v>110</v>
      </c>
      <c r="K33" s="22">
        <f t="shared" ref="K33:K34" si="13">G131</f>
        <v>0.9348266406</v>
      </c>
      <c r="M33" s="13" t="s">
        <v>210</v>
      </c>
      <c r="N33" s="14" t="s">
        <v>24</v>
      </c>
      <c r="O33" s="22">
        <f>O32+$O$27*$O$23</f>
        <v>300.3863803</v>
      </c>
      <c r="P33" s="72" t="s">
        <v>211</v>
      </c>
      <c r="Q33" s="13" t="s">
        <v>204</v>
      </c>
      <c r="R33" s="14" t="s">
        <v>45</v>
      </c>
      <c r="S33" s="68">
        <f>O44-273</f>
        <v>35.86362911</v>
      </c>
    </row>
    <row r="34">
      <c r="A34" s="74" t="s">
        <v>213</v>
      </c>
      <c r="B34" s="11"/>
      <c r="C34" s="12"/>
      <c r="E34" s="13" t="s">
        <v>68</v>
      </c>
      <c r="F34" s="14" t="s">
        <v>22</v>
      </c>
      <c r="G34" s="18">
        <f t="shared" si="12"/>
        <v>0.016</v>
      </c>
      <c r="I34" s="14" t="s">
        <v>205</v>
      </c>
      <c r="J34" s="14" t="s">
        <v>110</v>
      </c>
      <c r="K34" s="22">
        <f t="shared" si="13"/>
        <v>0.0003655261291</v>
      </c>
      <c r="M34" s="13" t="s">
        <v>215</v>
      </c>
      <c r="N34" s="14" t="s">
        <v>24</v>
      </c>
      <c r="O34" s="22">
        <f>O33+$O$27*$O$24</f>
        <v>300.3870821</v>
      </c>
      <c r="Q34" s="13" t="s">
        <v>207</v>
      </c>
      <c r="R34" s="14" t="s">
        <v>45</v>
      </c>
      <c r="S34" s="68">
        <f>O43-273</f>
        <v>35.86292736</v>
      </c>
    </row>
    <row r="35">
      <c r="A35" s="19" t="s">
        <v>65</v>
      </c>
      <c r="B35" s="16" t="s">
        <v>21</v>
      </c>
      <c r="C35" s="40">
        <v>23.0</v>
      </c>
      <c r="E35" s="13" t="s">
        <v>220</v>
      </c>
      <c r="F35" s="14" t="s">
        <v>28</v>
      </c>
      <c r="G35" s="18">
        <f>G34*G33</f>
        <v>0.000368</v>
      </c>
      <c r="I35" s="14" t="s">
        <v>209</v>
      </c>
      <c r="J35" s="14" t="s">
        <v>110</v>
      </c>
      <c r="K35" s="22">
        <f t="shared" ref="K35:K36" si="14">G131</f>
        <v>0.9348266406</v>
      </c>
      <c r="M35" s="13" t="s">
        <v>222</v>
      </c>
      <c r="N35" s="14" t="s">
        <v>24</v>
      </c>
      <c r="O35" s="22">
        <f>O34+$O$27*$O$23</f>
        <v>302.1818404</v>
      </c>
      <c r="P35" s="72" t="s">
        <v>223</v>
      </c>
      <c r="Q35" s="13" t="s">
        <v>212</v>
      </c>
      <c r="R35" s="14" t="s">
        <v>45</v>
      </c>
      <c r="S35" s="68">
        <f>O42-273</f>
        <v>34.23508684</v>
      </c>
    </row>
    <row r="36">
      <c r="A36" s="13" t="s">
        <v>68</v>
      </c>
      <c r="B36" s="14" t="s">
        <v>21</v>
      </c>
      <c r="C36" s="30">
        <v>16.0</v>
      </c>
      <c r="E36" s="13" t="s">
        <v>229</v>
      </c>
      <c r="F36" s="14" t="s">
        <v>28</v>
      </c>
      <c r="G36" s="18">
        <f>pi()*(G26)^2</f>
        <v>0.00002827433388</v>
      </c>
      <c r="I36" s="14" t="s">
        <v>214</v>
      </c>
      <c r="J36" s="14" t="s">
        <v>110</v>
      </c>
      <c r="K36" s="22">
        <f t="shared" si="14"/>
        <v>0.0003655261291</v>
      </c>
      <c r="M36" s="13" t="s">
        <v>231</v>
      </c>
      <c r="N36" s="14" t="s">
        <v>24</v>
      </c>
      <c r="O36" s="22">
        <f>O35+$O$27*$O$24</f>
        <v>302.1825422</v>
      </c>
      <c r="Q36" s="13" t="s">
        <v>216</v>
      </c>
      <c r="R36" s="14" t="s">
        <v>45</v>
      </c>
      <c r="S36" s="68">
        <f>O41-273</f>
        <v>34.23438509</v>
      </c>
    </row>
    <row r="37">
      <c r="A37" s="14" t="s">
        <v>233</v>
      </c>
      <c r="B37" s="14" t="s">
        <v>21</v>
      </c>
      <c r="C37" s="30">
        <v>4.0</v>
      </c>
      <c r="E37" s="13" t="s">
        <v>234</v>
      </c>
      <c r="F37" s="14" t="s">
        <v>28</v>
      </c>
      <c r="G37" s="18">
        <f>G35-G36</f>
        <v>0.0003397256661</v>
      </c>
      <c r="I37" s="14" t="s">
        <v>221</v>
      </c>
      <c r="J37" s="14" t="s">
        <v>110</v>
      </c>
      <c r="K37" s="22">
        <f t="shared" ref="K37:K38" si="15">G131</f>
        <v>0.9348266406</v>
      </c>
      <c r="M37" s="13" t="s">
        <v>236</v>
      </c>
      <c r="N37" s="14" t="s">
        <v>24</v>
      </c>
      <c r="O37" s="22">
        <f>O36+$O$27*$O$23</f>
        <v>303.9773005</v>
      </c>
      <c r="P37" s="72" t="s">
        <v>237</v>
      </c>
      <c r="Q37" s="13" t="s">
        <v>224</v>
      </c>
      <c r="R37" s="14" t="s">
        <v>45</v>
      </c>
      <c r="S37" s="68">
        <f>O40-273</f>
        <v>32.60654456</v>
      </c>
    </row>
    <row r="38">
      <c r="A38" s="14" t="s">
        <v>239</v>
      </c>
      <c r="B38" s="14" t="s">
        <v>21</v>
      </c>
      <c r="C38" s="30">
        <v>2.5</v>
      </c>
      <c r="E38" s="46" t="s">
        <v>240</v>
      </c>
      <c r="F38" s="28" t="s">
        <v>110</v>
      </c>
      <c r="G38" s="47">
        <f>G32/(G31*G37)</f>
        <v>0.07581587939</v>
      </c>
      <c r="I38" s="14" t="s">
        <v>230</v>
      </c>
      <c r="J38" s="14" t="s">
        <v>110</v>
      </c>
      <c r="K38" s="22">
        <f t="shared" si="15"/>
        <v>0.0003655261291</v>
      </c>
      <c r="M38" s="13" t="s">
        <v>238</v>
      </c>
      <c r="N38" s="14" t="s">
        <v>24</v>
      </c>
      <c r="O38" s="22">
        <f>O37+$O$27*$O$24</f>
        <v>303.9780023</v>
      </c>
      <c r="Q38" s="13" t="s">
        <v>232</v>
      </c>
      <c r="R38" s="14" t="s">
        <v>45</v>
      </c>
      <c r="S38" s="68">
        <f>O39-273</f>
        <v>32.60584282</v>
      </c>
    </row>
    <row r="39">
      <c r="A39" s="25" t="s">
        <v>242</v>
      </c>
      <c r="B39" s="76" t="s">
        <v>21</v>
      </c>
      <c r="C39" s="31">
        <v>5.0</v>
      </c>
      <c r="E39" s="69" t="s">
        <v>115</v>
      </c>
      <c r="F39" s="3"/>
      <c r="G39" s="70">
        <f>((1/G29)+(1/G38))^(-1)</f>
        <v>0.06347457657</v>
      </c>
      <c r="I39" s="14" t="s">
        <v>235</v>
      </c>
      <c r="J39" s="14" t="s">
        <v>110</v>
      </c>
      <c r="K39" s="22">
        <f t="shared" ref="K39:K40" si="16">G131</f>
        <v>0.9348266406</v>
      </c>
      <c r="M39" s="13" t="s">
        <v>232</v>
      </c>
      <c r="N39" s="14" t="s">
        <v>24</v>
      </c>
      <c r="O39" s="22">
        <f>O38+$O$27*$O$25</f>
        <v>305.6058428</v>
      </c>
      <c r="P39" s="72" t="s">
        <v>244</v>
      </c>
      <c r="Q39" s="13" t="s">
        <v>238</v>
      </c>
      <c r="R39" s="14" t="s">
        <v>45</v>
      </c>
      <c r="S39" s="68">
        <f>O38-273</f>
        <v>30.97800229</v>
      </c>
    </row>
    <row r="40">
      <c r="A40" s="73" t="s">
        <v>245</v>
      </c>
      <c r="B40" s="2"/>
      <c r="C40" s="3"/>
      <c r="I40" s="14" t="s">
        <v>241</v>
      </c>
      <c r="J40" s="14" t="s">
        <v>110</v>
      </c>
      <c r="K40" s="22">
        <f t="shared" si="16"/>
        <v>0.0003655261291</v>
      </c>
      <c r="M40" s="13" t="s">
        <v>224</v>
      </c>
      <c r="N40" s="14" t="s">
        <v>24</v>
      </c>
      <c r="O40" s="22">
        <f>O39+$O$27*$O$26</f>
        <v>305.6065446</v>
      </c>
      <c r="Q40" s="13" t="s">
        <v>236</v>
      </c>
      <c r="R40" s="14" t="s">
        <v>45</v>
      </c>
      <c r="S40" s="68">
        <f>O37-273</f>
        <v>30.97730052</v>
      </c>
    </row>
    <row r="41">
      <c r="A41" s="16" t="s">
        <v>35</v>
      </c>
      <c r="B41" s="16" t="s">
        <v>21</v>
      </c>
      <c r="C41" s="40">
        <v>1.0</v>
      </c>
      <c r="E41" s="53" t="s">
        <v>129</v>
      </c>
      <c r="F41" s="2"/>
      <c r="G41" s="3"/>
      <c r="I41" s="14" t="s">
        <v>243</v>
      </c>
      <c r="J41" s="14" t="s">
        <v>110</v>
      </c>
      <c r="K41" s="22">
        <f t="shared" ref="K41:K42" si="17">G131</f>
        <v>0.9348266406</v>
      </c>
      <c r="M41" s="13" t="s">
        <v>216</v>
      </c>
      <c r="N41" s="14" t="s">
        <v>24</v>
      </c>
      <c r="O41" s="22">
        <f>O40+$O$27*$O$25</f>
        <v>307.2343851</v>
      </c>
      <c r="P41" s="72" t="s">
        <v>248</v>
      </c>
      <c r="Q41" s="13" t="s">
        <v>231</v>
      </c>
      <c r="R41" s="14" t="s">
        <v>45</v>
      </c>
      <c r="S41" s="68">
        <f>O36-273</f>
        <v>29.18254219</v>
      </c>
    </row>
    <row r="42">
      <c r="A42" s="14" t="s">
        <v>39</v>
      </c>
      <c r="B42" s="14" t="s">
        <v>21</v>
      </c>
      <c r="C42" s="30">
        <v>3.0</v>
      </c>
      <c r="I42" s="14" t="s">
        <v>246</v>
      </c>
      <c r="J42" s="14" t="s">
        <v>110</v>
      </c>
      <c r="K42" s="22">
        <f t="shared" si="17"/>
        <v>0.0003655261291</v>
      </c>
      <c r="M42" s="13" t="s">
        <v>212</v>
      </c>
      <c r="N42" s="14" t="s">
        <v>24</v>
      </c>
      <c r="O42" s="22">
        <f>O41+$O$27*$O$26</f>
        <v>307.2350868</v>
      </c>
      <c r="Q42" s="13" t="s">
        <v>222</v>
      </c>
      <c r="R42" s="14" t="s">
        <v>45</v>
      </c>
      <c r="S42" s="68">
        <f>O35-273</f>
        <v>29.18184042</v>
      </c>
    </row>
    <row r="43">
      <c r="A43" s="77" t="s">
        <v>249</v>
      </c>
      <c r="B43" s="11"/>
      <c r="C43" s="12"/>
      <c r="E43" s="9" t="s">
        <v>250</v>
      </c>
      <c r="F43" s="2"/>
      <c r="G43" s="3"/>
      <c r="I43" s="28" t="s">
        <v>247</v>
      </c>
      <c r="J43" s="28" t="s">
        <v>110</v>
      </c>
      <c r="K43" s="28">
        <f>SUM(K10:K42)</f>
        <v>108.3399014</v>
      </c>
      <c r="M43" s="13" t="s">
        <v>252</v>
      </c>
      <c r="N43" s="14" t="s">
        <v>24</v>
      </c>
      <c r="O43" s="22">
        <f>O42+$O$27*$O$25</f>
        <v>308.8629274</v>
      </c>
      <c r="P43" s="72" t="s">
        <v>253</v>
      </c>
      <c r="Q43" s="13" t="s">
        <v>215</v>
      </c>
      <c r="R43" s="14" t="s">
        <v>45</v>
      </c>
      <c r="S43" s="68">
        <f>O34-273</f>
        <v>27.38708208</v>
      </c>
    </row>
    <row r="44">
      <c r="A44" s="19" t="s">
        <v>35</v>
      </c>
      <c r="B44" s="16" t="s">
        <v>21</v>
      </c>
      <c r="C44" s="40">
        <v>1.0</v>
      </c>
      <c r="E44" s="19" t="s">
        <v>35</v>
      </c>
      <c r="F44" s="16" t="s">
        <v>22</v>
      </c>
      <c r="G44" s="45">
        <f t="shared" ref="G44:G45" si="18">C31/1000</f>
        <v>0.001</v>
      </c>
      <c r="M44" s="13" t="s">
        <v>254</v>
      </c>
      <c r="N44" s="14" t="s">
        <v>24</v>
      </c>
      <c r="O44" s="22">
        <f>O43+$O$27*$O$26</f>
        <v>308.8636291</v>
      </c>
      <c r="Q44" s="13" t="s">
        <v>210</v>
      </c>
      <c r="R44" s="14" t="s">
        <v>45</v>
      </c>
      <c r="S44" s="68">
        <f>O33-273</f>
        <v>27.38638031</v>
      </c>
    </row>
    <row r="45">
      <c r="A45" s="13" t="s">
        <v>39</v>
      </c>
      <c r="B45" s="14" t="s">
        <v>21</v>
      </c>
      <c r="C45" s="30">
        <v>1.48</v>
      </c>
      <c r="E45" s="13" t="s">
        <v>39</v>
      </c>
      <c r="F45" s="14" t="s">
        <v>22</v>
      </c>
      <c r="G45" s="18">
        <f t="shared" si="18"/>
        <v>0.003</v>
      </c>
      <c r="I45" s="1" t="s">
        <v>251</v>
      </c>
      <c r="J45" s="2"/>
      <c r="K45" s="3"/>
      <c r="M45" s="13" t="s">
        <v>255</v>
      </c>
      <c r="N45" s="14" t="s">
        <v>24</v>
      </c>
      <c r="O45" s="22">
        <f>O44+$O$27*$O$25</f>
        <v>310.4914696</v>
      </c>
      <c r="P45" s="72" t="s">
        <v>256</v>
      </c>
      <c r="Q45" s="13" t="s">
        <v>206</v>
      </c>
      <c r="R45" s="14" t="s">
        <v>45</v>
      </c>
      <c r="S45" s="68">
        <f>O32-273</f>
        <v>25.59162198</v>
      </c>
    </row>
    <row r="46">
      <c r="A46" s="13" t="s">
        <v>257</v>
      </c>
      <c r="B46" s="14" t="s">
        <v>21</v>
      </c>
      <c r="C46" s="30">
        <v>0.3</v>
      </c>
      <c r="E46" s="13" t="s">
        <v>239</v>
      </c>
      <c r="F46" s="14" t="s">
        <v>22</v>
      </c>
      <c r="G46" s="18">
        <f>C38/1000</f>
        <v>0.0025</v>
      </c>
      <c r="M46" s="13" t="s">
        <v>259</v>
      </c>
      <c r="N46" s="14" t="s">
        <v>24</v>
      </c>
      <c r="O46" s="22">
        <f>O45+$O$27*$O$26</f>
        <v>310.4921714</v>
      </c>
      <c r="Q46" s="13" t="s">
        <v>202</v>
      </c>
      <c r="R46" s="14" t="s">
        <v>45</v>
      </c>
      <c r="S46" s="68">
        <f>O31-273</f>
        <v>25.59092021</v>
      </c>
    </row>
    <row r="47">
      <c r="A47" s="24" t="s">
        <v>260</v>
      </c>
      <c r="B47" s="25" t="s">
        <v>21</v>
      </c>
      <c r="C47" s="31">
        <v>2.1</v>
      </c>
      <c r="E47" s="13" t="s">
        <v>152</v>
      </c>
      <c r="F47" s="14" t="s">
        <v>52</v>
      </c>
      <c r="G47" s="18">
        <f>C10</f>
        <v>112.1</v>
      </c>
      <c r="I47" s="50" t="s">
        <v>5</v>
      </c>
      <c r="J47" s="7" t="s">
        <v>6</v>
      </c>
      <c r="K47" s="51" t="s">
        <v>7</v>
      </c>
      <c r="M47" s="13" t="s">
        <v>262</v>
      </c>
      <c r="N47" s="14" t="s">
        <v>24</v>
      </c>
      <c r="O47" s="22">
        <f>O46+$O$27*$O$25</f>
        <v>312.1200119</v>
      </c>
      <c r="P47" s="72" t="s">
        <v>263</v>
      </c>
      <c r="Q47" s="13" t="s">
        <v>198</v>
      </c>
      <c r="R47" s="14" t="s">
        <v>45</v>
      </c>
      <c r="S47" s="68">
        <f>O30-273</f>
        <v>23.79616187</v>
      </c>
    </row>
    <row r="48">
      <c r="A48" s="77" t="s">
        <v>265</v>
      </c>
      <c r="B48" s="11"/>
      <c r="C48" s="12"/>
      <c r="E48" s="32" t="s">
        <v>266</v>
      </c>
      <c r="F48" s="33" t="s">
        <v>110</v>
      </c>
      <c r="G48" s="34">
        <f>LN((G45/G44))/(2*pi()*G46*G47)</f>
        <v>0.6239057138</v>
      </c>
      <c r="I48" s="9" t="s">
        <v>258</v>
      </c>
      <c r="J48" s="2"/>
      <c r="K48" s="3"/>
      <c r="M48" s="13" t="s">
        <v>267</v>
      </c>
      <c r="N48" s="14" t="s">
        <v>24</v>
      </c>
      <c r="O48" s="22">
        <f>O47+$O$27*$O$26</f>
        <v>312.1207137</v>
      </c>
      <c r="Q48" s="13" t="s">
        <v>192</v>
      </c>
      <c r="R48" s="14" t="s">
        <v>45</v>
      </c>
      <c r="S48" s="68">
        <f>O29-273</f>
        <v>23.7954601</v>
      </c>
    </row>
    <row r="49">
      <c r="A49" s="19" t="s">
        <v>35</v>
      </c>
      <c r="B49" s="16" t="s">
        <v>21</v>
      </c>
      <c r="C49" s="40">
        <v>1.0</v>
      </c>
      <c r="E49" s="9" t="s">
        <v>268</v>
      </c>
      <c r="F49" s="2"/>
      <c r="G49" s="3"/>
      <c r="I49" s="13" t="s">
        <v>261</v>
      </c>
      <c r="J49" s="14" t="s">
        <v>24</v>
      </c>
      <c r="K49" s="18">
        <f t="shared" ref="K49:K50" si="19">C6+273</f>
        <v>503</v>
      </c>
      <c r="M49" s="13" t="s">
        <v>269</v>
      </c>
      <c r="N49" s="14" t="s">
        <v>24</v>
      </c>
      <c r="O49" s="22">
        <f>O48+$O$27*$O$25</f>
        <v>313.7485542</v>
      </c>
      <c r="P49" s="72" t="s">
        <v>270</v>
      </c>
      <c r="Q49" s="13" t="s">
        <v>264</v>
      </c>
      <c r="R49" s="14" t="s">
        <v>45</v>
      </c>
      <c r="S49" s="68">
        <f>O28-273</f>
        <v>22.00070177</v>
      </c>
    </row>
    <row r="50">
      <c r="A50" s="13" t="s">
        <v>39</v>
      </c>
      <c r="B50" s="14" t="s">
        <v>21</v>
      </c>
      <c r="C50" s="30">
        <v>3.5</v>
      </c>
      <c r="E50" s="19" t="s">
        <v>200</v>
      </c>
      <c r="F50" s="16" t="s">
        <v>52</v>
      </c>
      <c r="G50" s="45">
        <f>C9</f>
        <v>155.3</v>
      </c>
      <c r="I50" s="13" t="s">
        <v>111</v>
      </c>
      <c r="J50" s="14" t="s">
        <v>24</v>
      </c>
      <c r="K50" s="18">
        <f t="shared" si="19"/>
        <v>295</v>
      </c>
      <c r="M50" s="13" t="s">
        <v>271</v>
      </c>
      <c r="N50" s="14" t="s">
        <v>24</v>
      </c>
      <c r="O50" s="18">
        <f>O49+$O$27*$O$26</f>
        <v>313.7492559</v>
      </c>
      <c r="Q50" s="24" t="s">
        <v>142</v>
      </c>
      <c r="R50" s="25" t="s">
        <v>45</v>
      </c>
      <c r="S50" s="78">
        <f>C7</f>
        <v>22</v>
      </c>
    </row>
    <row r="51">
      <c r="A51" s="9" t="s">
        <v>74</v>
      </c>
      <c r="B51" s="2"/>
      <c r="C51" s="3"/>
      <c r="E51" s="13" t="s">
        <v>239</v>
      </c>
      <c r="F51" s="14" t="s">
        <v>22</v>
      </c>
      <c r="G51" s="18">
        <f>C38/1000</f>
        <v>0.0025</v>
      </c>
      <c r="I51" s="13" t="s">
        <v>120</v>
      </c>
      <c r="J51" s="14" t="s">
        <v>110</v>
      </c>
      <c r="K51" s="18">
        <f>K8</f>
        <v>5126.587034</v>
      </c>
      <c r="M51" s="46" t="s">
        <v>273</v>
      </c>
      <c r="N51" s="28" t="s">
        <v>24</v>
      </c>
      <c r="O51" s="47">
        <f>O50+$O$27*$O$25</f>
        <v>315.3770965</v>
      </c>
      <c r="P51" s="72" t="s">
        <v>274</v>
      </c>
    </row>
    <row r="52">
      <c r="A52" s="19" t="s">
        <v>35</v>
      </c>
      <c r="B52" s="16" t="s">
        <v>21</v>
      </c>
      <c r="C52" s="40">
        <f>average(2.1,3.5)</f>
        <v>2.8</v>
      </c>
      <c r="E52" s="13" t="s">
        <v>65</v>
      </c>
      <c r="F52" s="14" t="s">
        <v>22</v>
      </c>
      <c r="G52" s="18">
        <f t="shared" ref="G52:G53" si="20">C35/1000</f>
        <v>0.023</v>
      </c>
      <c r="I52" s="46" t="s">
        <v>121</v>
      </c>
      <c r="J52" s="28" t="s">
        <v>113</v>
      </c>
      <c r="K52" s="59">
        <f>(K49-K50)/K51</f>
        <v>0.04057280187</v>
      </c>
    </row>
    <row r="53">
      <c r="A53" s="13" t="s">
        <v>78</v>
      </c>
      <c r="B53" s="14" t="s">
        <v>21</v>
      </c>
      <c r="C53" s="30">
        <v>4.0</v>
      </c>
      <c r="E53" s="13" t="s">
        <v>68</v>
      </c>
      <c r="F53" s="14" t="s">
        <v>22</v>
      </c>
      <c r="G53" s="18">
        <f t="shared" si="20"/>
        <v>0.016</v>
      </c>
      <c r="I53" s="9" t="s">
        <v>272</v>
      </c>
      <c r="J53" s="2"/>
      <c r="K53" s="3"/>
      <c r="M53" s="9" t="s">
        <v>275</v>
      </c>
      <c r="N53" s="2"/>
      <c r="O53" s="3"/>
    </row>
    <row r="54">
      <c r="A54" s="13" t="s">
        <v>39</v>
      </c>
      <c r="B54" s="14" t="s">
        <v>21</v>
      </c>
      <c r="C54" s="30">
        <v>11.0</v>
      </c>
      <c r="E54" s="13" t="s">
        <v>220</v>
      </c>
      <c r="F54" s="14" t="s">
        <v>28</v>
      </c>
      <c r="G54" s="18">
        <f>G53*G52</f>
        <v>0.000368</v>
      </c>
      <c r="I54" s="13" t="s">
        <v>261</v>
      </c>
      <c r="J54" s="14" t="s">
        <v>24</v>
      </c>
      <c r="K54" s="18">
        <f t="shared" ref="K54:K55" si="21">C6+273</f>
        <v>503</v>
      </c>
      <c r="M54" s="19" t="s">
        <v>276</v>
      </c>
      <c r="N54" s="16" t="s">
        <v>110</v>
      </c>
      <c r="O54" s="45">
        <f>K12</f>
        <v>13.94156845</v>
      </c>
    </row>
    <row r="55">
      <c r="A55" s="13" t="s">
        <v>85</v>
      </c>
      <c r="B55" s="14" t="s">
        <v>21</v>
      </c>
      <c r="C55" s="30">
        <v>1.5</v>
      </c>
      <c r="E55" s="13" t="s">
        <v>229</v>
      </c>
      <c r="F55" s="14" t="s">
        <v>28</v>
      </c>
      <c r="G55" s="18">
        <f>pi()*G45^2</f>
        <v>0.00002827433388</v>
      </c>
      <c r="I55" s="13" t="s">
        <v>111</v>
      </c>
      <c r="J55" s="14" t="s">
        <v>24</v>
      </c>
      <c r="K55" s="18">
        <f t="shared" si="21"/>
        <v>295</v>
      </c>
      <c r="M55" s="24" t="s">
        <v>277</v>
      </c>
      <c r="N55" s="25" t="s">
        <v>113</v>
      </c>
      <c r="O55" s="71">
        <f>K57</f>
        <v>1.919883601</v>
      </c>
    </row>
    <row r="56">
      <c r="A56" s="24" t="s">
        <v>90</v>
      </c>
      <c r="B56" s="25" t="s">
        <v>21</v>
      </c>
      <c r="C56" s="31">
        <v>1.0</v>
      </c>
      <c r="E56" s="13" t="s">
        <v>234</v>
      </c>
      <c r="F56" s="14" t="s">
        <v>28</v>
      </c>
      <c r="G56" s="18">
        <f>G54-G55</f>
        <v>0.0003397256661</v>
      </c>
      <c r="I56" s="13" t="s">
        <v>247</v>
      </c>
      <c r="J56" s="14" t="s">
        <v>110</v>
      </c>
      <c r="K56" s="18">
        <f>K43</f>
        <v>108.3399014</v>
      </c>
      <c r="M56" s="19" t="s">
        <v>474</v>
      </c>
      <c r="N56" s="16" t="s">
        <v>24</v>
      </c>
      <c r="O56" s="64">
        <f>O51+$O$55*$O$54</f>
        <v>342.1432851</v>
      </c>
    </row>
    <row r="57">
      <c r="E57" s="46" t="s">
        <v>279</v>
      </c>
      <c r="F57" s="28" t="s">
        <v>110</v>
      </c>
      <c r="G57" s="47">
        <f>G51/(G50*G56)</f>
        <v>0.04738492462</v>
      </c>
      <c r="I57" s="46" t="s">
        <v>159</v>
      </c>
      <c r="J57" s="28" t="s">
        <v>113</v>
      </c>
      <c r="K57" s="59">
        <f>(K54-K55)/K56</f>
        <v>1.919883601</v>
      </c>
      <c r="M57" s="13" t="s">
        <v>475</v>
      </c>
      <c r="N57" s="14" t="s">
        <v>24</v>
      </c>
      <c r="O57" s="22">
        <f t="shared" ref="O57:O61" si="22">O56+$O$55*$O$54</f>
        <v>368.9094737</v>
      </c>
    </row>
    <row r="58">
      <c r="A58" s="72" t="s">
        <v>282</v>
      </c>
      <c r="E58" s="69" t="s">
        <v>129</v>
      </c>
      <c r="F58" s="3"/>
      <c r="G58" s="70">
        <f>((1/G48)+(1/G57))^(-1)</f>
        <v>0.04404012737</v>
      </c>
      <c r="M58" s="13" t="s">
        <v>278</v>
      </c>
      <c r="N58" s="14" t="s">
        <v>24</v>
      </c>
      <c r="O58" s="22">
        <f t="shared" si="22"/>
        <v>395.6756624</v>
      </c>
    </row>
    <row r="59">
      <c r="I59" s="1" t="s">
        <v>280</v>
      </c>
      <c r="J59" s="2"/>
      <c r="K59" s="3"/>
      <c r="M59" s="13" t="s">
        <v>281</v>
      </c>
      <c r="N59" s="14" t="s">
        <v>24</v>
      </c>
      <c r="O59" s="22">
        <f t="shared" si="22"/>
        <v>422.441851</v>
      </c>
    </row>
    <row r="60">
      <c r="E60" s="53" t="s">
        <v>133</v>
      </c>
      <c r="F60" s="2"/>
      <c r="G60" s="3"/>
      <c r="M60" s="13" t="s">
        <v>283</v>
      </c>
      <c r="N60" s="14" t="s">
        <v>24</v>
      </c>
      <c r="O60" s="22">
        <f t="shared" si="22"/>
        <v>449.2080396</v>
      </c>
    </row>
    <row r="61">
      <c r="I61" s="9" t="s">
        <v>284</v>
      </c>
      <c r="J61" s="2"/>
      <c r="K61" s="3"/>
      <c r="M61" s="24" t="s">
        <v>285</v>
      </c>
      <c r="N61" s="25" t="s">
        <v>24</v>
      </c>
      <c r="O61" s="79">
        <f t="shared" si="22"/>
        <v>475.9742283</v>
      </c>
    </row>
    <row r="62">
      <c r="E62" s="9" t="s">
        <v>288</v>
      </c>
      <c r="F62" s="2"/>
      <c r="G62" s="3"/>
      <c r="I62" s="19" t="s">
        <v>147</v>
      </c>
      <c r="J62" s="16" t="s">
        <v>55</v>
      </c>
      <c r="K62" s="45">
        <f>C17</f>
        <v>1240</v>
      </c>
    </row>
    <row r="63">
      <c r="E63" s="19" t="s">
        <v>35</v>
      </c>
      <c r="F63" s="16" t="s">
        <v>22</v>
      </c>
      <c r="G63" s="45">
        <f t="shared" ref="G63:G64" si="23">C41/1000</f>
        <v>0.001</v>
      </c>
      <c r="I63" s="13" t="s">
        <v>286</v>
      </c>
      <c r="J63" s="14" t="s">
        <v>15</v>
      </c>
      <c r="K63" s="80">
        <f>C18/10^9</f>
        <v>0.000000015</v>
      </c>
      <c r="M63" s="9" t="s">
        <v>287</v>
      </c>
      <c r="N63" s="2"/>
      <c r="O63" s="3"/>
    </row>
    <row r="64">
      <c r="E64" s="13" t="s">
        <v>39</v>
      </c>
      <c r="F64" s="14" t="s">
        <v>22</v>
      </c>
      <c r="G64" s="18">
        <f t="shared" si="23"/>
        <v>0.003</v>
      </c>
      <c r="I64" s="46" t="s">
        <v>289</v>
      </c>
      <c r="J64" s="28" t="s">
        <v>290</v>
      </c>
      <c r="K64" s="81">
        <f>K63*K62</f>
        <v>0.0000186</v>
      </c>
      <c r="M64" s="13" t="s">
        <v>291</v>
      </c>
      <c r="N64" s="14" t="s">
        <v>24</v>
      </c>
      <c r="O64" s="18">
        <f>O61</f>
        <v>475.9742283</v>
      </c>
    </row>
    <row r="65">
      <c r="E65" s="13" t="s">
        <v>242</v>
      </c>
      <c r="F65" s="14" t="s">
        <v>22</v>
      </c>
      <c r="G65" s="18">
        <f>C39/1000</f>
        <v>0.005</v>
      </c>
      <c r="I65" s="9" t="s">
        <v>127</v>
      </c>
      <c r="J65" s="2"/>
      <c r="K65" s="3"/>
      <c r="M65" s="13" t="s">
        <v>292</v>
      </c>
      <c r="N65" s="14" t="s">
        <v>110</v>
      </c>
      <c r="O65" s="18">
        <f>K12</f>
        <v>13.94156845</v>
      </c>
    </row>
    <row r="66">
      <c r="E66" s="13" t="s">
        <v>294</v>
      </c>
      <c r="F66" s="14" t="s">
        <v>52</v>
      </c>
      <c r="G66" s="18">
        <f>C11</f>
        <v>14.58</v>
      </c>
      <c r="I66" s="13" t="s">
        <v>289</v>
      </c>
      <c r="J66" s="16" t="s">
        <v>290</v>
      </c>
      <c r="K66" s="36">
        <f>K64</f>
        <v>0.0000186</v>
      </c>
      <c r="M66" s="13" t="s">
        <v>159</v>
      </c>
      <c r="N66" s="14" t="s">
        <v>113</v>
      </c>
      <c r="O66" s="18">
        <f>K57</f>
        <v>1.919883601</v>
      </c>
    </row>
    <row r="67">
      <c r="E67" s="32" t="s">
        <v>297</v>
      </c>
      <c r="F67" s="28" t="s">
        <v>110</v>
      </c>
      <c r="G67" s="34">
        <f>LN((G64/G63))/(2*pi()*G65*G66)</f>
        <v>2.398485271</v>
      </c>
      <c r="I67" s="13" t="s">
        <v>293</v>
      </c>
      <c r="J67" s="14" t="s">
        <v>157</v>
      </c>
      <c r="K67" s="18">
        <f>C19</f>
        <v>1800</v>
      </c>
      <c r="M67" s="46" t="s">
        <v>160</v>
      </c>
      <c r="N67" s="28" t="s">
        <v>24</v>
      </c>
      <c r="O67" s="59">
        <f>O64+O65*O66</f>
        <v>502.7404169</v>
      </c>
    </row>
    <row r="68">
      <c r="E68" s="9" t="s">
        <v>300</v>
      </c>
      <c r="F68" s="2"/>
      <c r="G68" s="3"/>
      <c r="I68" s="13" t="s">
        <v>295</v>
      </c>
      <c r="J68" s="14" t="s">
        <v>24</v>
      </c>
      <c r="K68" s="18">
        <f t="shared" ref="K68:K69" si="24">C20+273</f>
        <v>333</v>
      </c>
      <c r="M68" s="9" t="s">
        <v>296</v>
      </c>
      <c r="N68" s="2"/>
      <c r="O68" s="3"/>
    </row>
    <row r="69">
      <c r="E69" s="19" t="s">
        <v>200</v>
      </c>
      <c r="F69" s="16" t="s">
        <v>52</v>
      </c>
      <c r="G69" s="45">
        <f>C9</f>
        <v>155.3</v>
      </c>
      <c r="I69" s="13" t="s">
        <v>298</v>
      </c>
      <c r="J69" s="14" t="s">
        <v>24</v>
      </c>
      <c r="K69" s="18">
        <f t="shared" si="24"/>
        <v>503</v>
      </c>
      <c r="M69" s="13" t="s">
        <v>299</v>
      </c>
      <c r="N69" s="14" t="s">
        <v>24</v>
      </c>
      <c r="O69" s="18">
        <f>O67</f>
        <v>502.7404169</v>
      </c>
    </row>
    <row r="70">
      <c r="E70" s="13" t="s">
        <v>242</v>
      </c>
      <c r="F70" s="14" t="s">
        <v>22</v>
      </c>
      <c r="G70" s="18">
        <f>C39/1000</f>
        <v>0.005</v>
      </c>
      <c r="I70" s="46" t="s">
        <v>301</v>
      </c>
      <c r="J70" s="28" t="s">
        <v>113</v>
      </c>
      <c r="K70" s="82">
        <f>K66*K67*(K69-K68)</f>
        <v>5.6916</v>
      </c>
      <c r="M70" s="13" t="s">
        <v>133</v>
      </c>
      <c r="N70" s="14" t="s">
        <v>110</v>
      </c>
      <c r="O70" s="18">
        <f>K11</f>
        <v>0.09116760082</v>
      </c>
    </row>
    <row r="71">
      <c r="E71" s="13" t="s">
        <v>65</v>
      </c>
      <c r="F71" s="14" t="s">
        <v>22</v>
      </c>
      <c r="G71" s="18">
        <f t="shared" ref="G71:G72" si="25">C35/1000</f>
        <v>0.023</v>
      </c>
      <c r="M71" s="13" t="s">
        <v>159</v>
      </c>
      <c r="N71" s="14" t="s">
        <v>113</v>
      </c>
      <c r="O71" s="18">
        <f>K57</f>
        <v>1.919883601</v>
      </c>
    </row>
    <row r="72">
      <c r="E72" s="13" t="s">
        <v>68</v>
      </c>
      <c r="F72" s="14" t="s">
        <v>22</v>
      </c>
      <c r="G72" s="18">
        <f t="shared" si="25"/>
        <v>0.016</v>
      </c>
      <c r="I72" s="1" t="s">
        <v>302</v>
      </c>
      <c r="J72" s="2"/>
      <c r="K72" s="3"/>
      <c r="M72" s="46" t="s">
        <v>160</v>
      </c>
      <c r="N72" s="28" t="s">
        <v>24</v>
      </c>
      <c r="O72" s="59">
        <f>O69+O70*O71</f>
        <v>502.9154481</v>
      </c>
    </row>
    <row r="73">
      <c r="E73" s="13" t="s">
        <v>220</v>
      </c>
      <c r="F73" s="14" t="s">
        <v>28</v>
      </c>
      <c r="G73" s="18">
        <f>G71*G72</f>
        <v>0.000368</v>
      </c>
    </row>
    <row r="74">
      <c r="E74" s="13" t="s">
        <v>229</v>
      </c>
      <c r="F74" s="14" t="s">
        <v>28</v>
      </c>
      <c r="G74" s="18">
        <f>pi()*G64^2</f>
        <v>0.00002827433388</v>
      </c>
      <c r="I74" s="50" t="s">
        <v>5</v>
      </c>
      <c r="J74" s="7" t="s">
        <v>6</v>
      </c>
      <c r="K74" s="51" t="s">
        <v>7</v>
      </c>
    </row>
    <row r="75">
      <c r="E75" s="13" t="s">
        <v>234</v>
      </c>
      <c r="F75" s="14" t="s">
        <v>28</v>
      </c>
      <c r="G75" s="18">
        <f>G73-G74</f>
        <v>0.0003397256661</v>
      </c>
      <c r="I75" s="9" t="s">
        <v>258</v>
      </c>
      <c r="J75" s="2"/>
      <c r="K75" s="3"/>
    </row>
    <row r="76">
      <c r="E76" s="46" t="s">
        <v>303</v>
      </c>
      <c r="F76" s="28" t="s">
        <v>110</v>
      </c>
      <c r="G76" s="47">
        <f>G70/(G69*G75)</f>
        <v>0.09476984924</v>
      </c>
      <c r="I76" s="13" t="s">
        <v>121</v>
      </c>
      <c r="J76" s="14" t="s">
        <v>113</v>
      </c>
      <c r="K76" s="18">
        <f>K52</f>
        <v>0.04057280187</v>
      </c>
    </row>
    <row r="77">
      <c r="E77" s="69" t="s">
        <v>133</v>
      </c>
      <c r="F77" s="3"/>
      <c r="G77" s="70">
        <f>((1/G67)+(1/G76))^(-1)</f>
        <v>0.09116760082</v>
      </c>
      <c r="I77" s="13" t="s">
        <v>159</v>
      </c>
      <c r="J77" s="14" t="s">
        <v>113</v>
      </c>
      <c r="K77" s="18">
        <f>K57</f>
        <v>1.919883601</v>
      </c>
    </row>
    <row r="78">
      <c r="I78" s="13" t="s">
        <v>301</v>
      </c>
      <c r="J78" s="14" t="s">
        <v>113</v>
      </c>
      <c r="K78" s="83">
        <f>K70</f>
        <v>5.6916</v>
      </c>
    </row>
    <row r="79">
      <c r="E79" s="53" t="s">
        <v>292</v>
      </c>
      <c r="F79" s="2"/>
      <c r="G79" s="3"/>
      <c r="I79" s="46" t="s">
        <v>112</v>
      </c>
      <c r="J79" s="28" t="s">
        <v>113</v>
      </c>
      <c r="K79" s="59">
        <f>SUM(K76:K78)</f>
        <v>7.652056402</v>
      </c>
    </row>
    <row r="81">
      <c r="E81" s="9" t="s">
        <v>304</v>
      </c>
      <c r="F81" s="2"/>
      <c r="G81" s="3"/>
    </row>
    <row r="82">
      <c r="E82" s="19" t="s">
        <v>35</v>
      </c>
      <c r="F82" s="16" t="s">
        <v>22</v>
      </c>
      <c r="G82" s="45">
        <f t="shared" ref="G82:G84" si="26">C44/1000</f>
        <v>0.001</v>
      </c>
    </row>
    <row r="83">
      <c r="E83" s="13" t="s">
        <v>39</v>
      </c>
      <c r="F83" s="14" t="s">
        <v>22</v>
      </c>
      <c r="G83" s="18">
        <f t="shared" si="26"/>
        <v>0.00148</v>
      </c>
    </row>
    <row r="84">
      <c r="E84" s="13" t="s">
        <v>43</v>
      </c>
      <c r="F84" s="14" t="s">
        <v>22</v>
      </c>
      <c r="G84" s="18">
        <f t="shared" si="26"/>
        <v>0.0003</v>
      </c>
    </row>
    <row r="85">
      <c r="E85" s="13" t="s">
        <v>294</v>
      </c>
      <c r="F85" s="14" t="s">
        <v>52</v>
      </c>
      <c r="G85" s="18">
        <f>C11</f>
        <v>14.58</v>
      </c>
    </row>
    <row r="86">
      <c r="E86" s="32" t="s">
        <v>308</v>
      </c>
      <c r="F86" s="33" t="s">
        <v>110</v>
      </c>
      <c r="G86" s="34">
        <f>LN((G83/G82))/(2*pi()*G84*G85)</f>
        <v>14.26507457</v>
      </c>
    </row>
    <row r="87">
      <c r="E87" s="9" t="s">
        <v>309</v>
      </c>
      <c r="F87" s="2"/>
      <c r="G87" s="3"/>
    </row>
    <row r="88">
      <c r="E88" s="19" t="s">
        <v>310</v>
      </c>
      <c r="F88" s="16" t="s">
        <v>19</v>
      </c>
      <c r="G88" s="61">
        <f>C13</f>
        <v>4.504503146</v>
      </c>
    </row>
    <row r="89">
      <c r="E89" s="13" t="s">
        <v>65</v>
      </c>
      <c r="F89" s="14" t="s">
        <v>22</v>
      </c>
      <c r="G89" s="18">
        <f t="shared" ref="G89:G90" si="27">C35/1000</f>
        <v>0.023</v>
      </c>
    </row>
    <row r="90">
      <c r="E90" s="13" t="s">
        <v>68</v>
      </c>
      <c r="F90" s="14" t="s">
        <v>22</v>
      </c>
      <c r="G90" s="18">
        <f t="shared" si="27"/>
        <v>0.016</v>
      </c>
    </row>
    <row r="91">
      <c r="E91" s="13" t="s">
        <v>220</v>
      </c>
      <c r="F91" s="14" t="s">
        <v>28</v>
      </c>
      <c r="G91" s="18">
        <f>G90*G89</f>
        <v>0.000368</v>
      </c>
    </row>
    <row r="92">
      <c r="E92" s="13" t="s">
        <v>229</v>
      </c>
      <c r="F92" s="14" t="s">
        <v>28</v>
      </c>
      <c r="G92" s="18">
        <f>pi()*G83^2</f>
        <v>0.000006881344548</v>
      </c>
    </row>
    <row r="93">
      <c r="E93" s="13" t="s">
        <v>234</v>
      </c>
      <c r="F93" s="14" t="s">
        <v>28</v>
      </c>
      <c r="G93" s="18">
        <f>G91-G92</f>
        <v>0.0003611186555</v>
      </c>
    </row>
    <row r="94">
      <c r="E94" s="46" t="s">
        <v>313</v>
      </c>
      <c r="F94" s="25" t="s">
        <v>110</v>
      </c>
      <c r="G94" s="59">
        <f>1/(G88*G93)</f>
        <v>614.7565727</v>
      </c>
    </row>
    <row r="95">
      <c r="E95" s="69" t="s">
        <v>292</v>
      </c>
      <c r="F95" s="3"/>
      <c r="G95" s="70">
        <f>((1/G86)+(1/G94))^(-1)</f>
        <v>13.94156845</v>
      </c>
    </row>
    <row r="97">
      <c r="E97" s="89" t="s">
        <v>318</v>
      </c>
      <c r="F97" s="2"/>
      <c r="G97" s="3"/>
    </row>
    <row r="99">
      <c r="E99" s="9" t="s">
        <v>319</v>
      </c>
      <c r="F99" s="2"/>
      <c r="G99" s="3"/>
    </row>
    <row r="100">
      <c r="E100" s="19" t="s">
        <v>35</v>
      </c>
      <c r="F100" s="16" t="s">
        <v>22</v>
      </c>
      <c r="G100" s="45">
        <f>C52/1000</f>
        <v>0.0028</v>
      </c>
    </row>
    <row r="101">
      <c r="E101" s="13" t="s">
        <v>39</v>
      </c>
      <c r="F101" s="14" t="s">
        <v>22</v>
      </c>
      <c r="G101" s="18">
        <f t="shared" ref="G101:G102" si="28">C54/1000</f>
        <v>0.011</v>
      </c>
    </row>
    <row r="102">
      <c r="E102" s="13" t="s">
        <v>43</v>
      </c>
      <c r="F102" s="14" t="s">
        <v>22</v>
      </c>
      <c r="G102" s="18">
        <f t="shared" si="28"/>
        <v>0.0015</v>
      </c>
    </row>
    <row r="103">
      <c r="E103" s="13" t="s">
        <v>200</v>
      </c>
      <c r="F103" s="14" t="s">
        <v>52</v>
      </c>
      <c r="G103" s="18">
        <f>C9</f>
        <v>155.3</v>
      </c>
    </row>
    <row r="104">
      <c r="E104" s="32" t="s">
        <v>320</v>
      </c>
      <c r="F104" s="33" t="s">
        <v>110</v>
      </c>
      <c r="G104" s="34">
        <f>LN((G101/G100))/(2*pi()*G102*G103)</f>
        <v>0.9348266406</v>
      </c>
    </row>
    <row r="105">
      <c r="E105" s="9" t="s">
        <v>321</v>
      </c>
      <c r="F105" s="2"/>
      <c r="G105" s="3"/>
    </row>
    <row r="106">
      <c r="E106" s="19" t="s">
        <v>35</v>
      </c>
      <c r="F106" s="16" t="s">
        <v>22</v>
      </c>
      <c r="G106" s="45">
        <f t="shared" ref="G106:G107" si="29">C49/1000</f>
        <v>0.001</v>
      </c>
    </row>
    <row r="107">
      <c r="E107" s="13" t="s">
        <v>39</v>
      </c>
      <c r="F107" s="14" t="s">
        <v>22</v>
      </c>
      <c r="G107" s="18">
        <f t="shared" si="29"/>
        <v>0.0035</v>
      </c>
    </row>
    <row r="108">
      <c r="E108" s="13" t="s">
        <v>43</v>
      </c>
      <c r="F108" s="14" t="s">
        <v>22</v>
      </c>
      <c r="G108" s="18">
        <f>C55/1000</f>
        <v>0.0015</v>
      </c>
    </row>
    <row r="109">
      <c r="E109" s="13" t="s">
        <v>322</v>
      </c>
      <c r="F109" s="14" t="s">
        <v>52</v>
      </c>
      <c r="G109" s="18">
        <f>C11</f>
        <v>14.58</v>
      </c>
    </row>
    <row r="110">
      <c r="E110" s="32" t="s">
        <v>323</v>
      </c>
      <c r="F110" s="33" t="s">
        <v>110</v>
      </c>
      <c r="G110" s="34">
        <f>LN((G107/G106))/(2*pi()*G108*G109)</f>
        <v>9.116754411</v>
      </c>
    </row>
    <row r="111">
      <c r="E111" s="9" t="s">
        <v>324</v>
      </c>
      <c r="F111" s="2"/>
      <c r="G111" s="3"/>
    </row>
    <row r="112">
      <c r="E112" s="19" t="s">
        <v>35</v>
      </c>
      <c r="F112" s="16" t="s">
        <v>22</v>
      </c>
      <c r="G112" s="45">
        <f t="shared" ref="G112:G113" si="30">C52/1000</f>
        <v>0.0028</v>
      </c>
    </row>
    <row r="113">
      <c r="E113" s="13" t="s">
        <v>39</v>
      </c>
      <c r="F113" s="14" t="s">
        <v>22</v>
      </c>
      <c r="G113" s="18">
        <f t="shared" si="30"/>
        <v>0.004</v>
      </c>
    </row>
    <row r="114">
      <c r="E114" s="13" t="s">
        <v>43</v>
      </c>
      <c r="F114" s="14" t="s">
        <v>22</v>
      </c>
      <c r="G114" s="18">
        <f>C56</f>
        <v>1</v>
      </c>
    </row>
    <row r="115">
      <c r="E115" s="13" t="s">
        <v>200</v>
      </c>
      <c r="F115" s="14" t="s">
        <v>52</v>
      </c>
      <c r="G115" s="18">
        <f>C9</f>
        <v>155.3</v>
      </c>
    </row>
    <row r="116">
      <c r="E116" s="46" t="s">
        <v>325</v>
      </c>
      <c r="F116" s="28" t="s">
        <v>110</v>
      </c>
      <c r="G116" s="47">
        <f>LN((G113/G112))/(2*pi()*G114*G115)</f>
        <v>0.000365528528</v>
      </c>
    </row>
    <row r="117">
      <c r="E117" s="9" t="s">
        <v>326</v>
      </c>
      <c r="F117" s="2"/>
      <c r="G117" s="3"/>
    </row>
    <row r="118">
      <c r="E118" s="19" t="s">
        <v>35</v>
      </c>
      <c r="F118" s="16" t="s">
        <v>22</v>
      </c>
      <c r="G118" s="45">
        <f t="shared" ref="G118:G119" si="31">C49/1000</f>
        <v>0.001</v>
      </c>
    </row>
    <row r="119">
      <c r="E119" s="13" t="s">
        <v>39</v>
      </c>
      <c r="F119" s="14" t="s">
        <v>22</v>
      </c>
      <c r="G119" s="18">
        <f t="shared" si="31"/>
        <v>0.0035</v>
      </c>
    </row>
    <row r="120">
      <c r="E120" s="13" t="s">
        <v>43</v>
      </c>
      <c r="F120" s="14" t="s">
        <v>22</v>
      </c>
      <c r="G120" s="18">
        <f>C56/1000</f>
        <v>0.001</v>
      </c>
    </row>
    <row r="121">
      <c r="E121" s="13" t="s">
        <v>322</v>
      </c>
      <c r="F121" s="14" t="s">
        <v>52</v>
      </c>
      <c r="G121" s="18">
        <f>C11</f>
        <v>14.58</v>
      </c>
    </row>
    <row r="122">
      <c r="E122" s="32" t="s">
        <v>327</v>
      </c>
      <c r="F122" s="33" t="s">
        <v>110</v>
      </c>
      <c r="G122" s="34">
        <f>LN((G119/G118))/(2*pi()*G120*G121)</f>
        <v>13.67513162</v>
      </c>
    </row>
    <row r="123">
      <c r="E123" s="9" t="s">
        <v>328</v>
      </c>
      <c r="F123" s="2"/>
      <c r="G123" s="3"/>
    </row>
    <row r="124">
      <c r="E124" s="19" t="s">
        <v>329</v>
      </c>
      <c r="F124" s="16" t="s">
        <v>19</v>
      </c>
      <c r="G124" s="61">
        <f>C15</f>
        <v>54.43080556</v>
      </c>
    </row>
    <row r="125">
      <c r="E125" s="13" t="s">
        <v>78</v>
      </c>
      <c r="F125" s="14" t="s">
        <v>22</v>
      </c>
      <c r="G125" s="18">
        <f t="shared" ref="G125:G126" si="32">C53/1000</f>
        <v>0.004</v>
      </c>
    </row>
    <row r="126">
      <c r="E126" s="13" t="s">
        <v>39</v>
      </c>
      <c r="F126" s="14" t="s">
        <v>22</v>
      </c>
      <c r="G126" s="18">
        <f t="shared" si="32"/>
        <v>0.011</v>
      </c>
    </row>
    <row r="127">
      <c r="E127" s="13" t="s">
        <v>330</v>
      </c>
      <c r="F127" s="14" t="s">
        <v>28</v>
      </c>
      <c r="G127" s="18">
        <f>pi()*(G126^2-G125^2)</f>
        <v>0.0003298672286</v>
      </c>
    </row>
    <row r="128">
      <c r="E128" s="46" t="s">
        <v>331</v>
      </c>
      <c r="F128" s="25" t="s">
        <v>110</v>
      </c>
      <c r="G128" s="59">
        <f>1/(G124*G127)</f>
        <v>55.69498181</v>
      </c>
    </row>
    <row r="129">
      <c r="E129" s="69" t="s">
        <v>332</v>
      </c>
      <c r="F129" s="3"/>
      <c r="G129" s="70">
        <f>((1/G104)+(1/G110))^(-1)</f>
        <v>0.8478850099</v>
      </c>
    </row>
    <row r="130">
      <c r="E130" s="69" t="s">
        <v>333</v>
      </c>
      <c r="F130" s="3"/>
      <c r="G130" s="70">
        <f>((1/G116)+(1/G122)+(1/G128))^(-1)</f>
        <v>0.0003655163591</v>
      </c>
    </row>
    <row r="131">
      <c r="E131" s="69" t="s">
        <v>334</v>
      </c>
      <c r="F131" s="3"/>
      <c r="G131" s="70">
        <f>G104</f>
        <v>0.9348266406</v>
      </c>
    </row>
    <row r="132">
      <c r="E132" s="69" t="s">
        <v>335</v>
      </c>
      <c r="F132" s="3"/>
      <c r="G132" s="70">
        <f>((1/G116)+(1/G128))^(-1)</f>
        <v>0.0003655261291</v>
      </c>
    </row>
  </sheetData>
  <mergeCells count="68">
    <mergeCell ref="I48:K48"/>
    <mergeCell ref="E49:G49"/>
    <mergeCell ref="A51:C51"/>
    <mergeCell ref="I53:K53"/>
    <mergeCell ref="M53:O53"/>
    <mergeCell ref="E58:F58"/>
    <mergeCell ref="E60:G60"/>
    <mergeCell ref="I59:K59"/>
    <mergeCell ref="I61:K61"/>
    <mergeCell ref="E62:G62"/>
    <mergeCell ref="M63:O63"/>
    <mergeCell ref="I65:K65"/>
    <mergeCell ref="E68:G68"/>
    <mergeCell ref="M68:O68"/>
    <mergeCell ref="E130:F130"/>
    <mergeCell ref="E131:F131"/>
    <mergeCell ref="E132:F132"/>
    <mergeCell ref="E97:G97"/>
    <mergeCell ref="E99:G99"/>
    <mergeCell ref="E105:G105"/>
    <mergeCell ref="E111:G111"/>
    <mergeCell ref="E117:G117"/>
    <mergeCell ref="E123:G123"/>
    <mergeCell ref="E129:F129"/>
    <mergeCell ref="M5:O5"/>
    <mergeCell ref="Q5:S5"/>
    <mergeCell ref="A2:C2"/>
    <mergeCell ref="E2:G2"/>
    <mergeCell ref="I2:K2"/>
    <mergeCell ref="M2:O2"/>
    <mergeCell ref="Q2:S2"/>
    <mergeCell ref="I5:K5"/>
    <mergeCell ref="E6:G6"/>
    <mergeCell ref="A5:C5"/>
    <mergeCell ref="A8:C8"/>
    <mergeCell ref="E8:G8"/>
    <mergeCell ref="I9:K9"/>
    <mergeCell ref="M10:O10"/>
    <mergeCell ref="Q10:R10"/>
    <mergeCell ref="Q13:S13"/>
    <mergeCell ref="A12:C12"/>
    <mergeCell ref="E14:G14"/>
    <mergeCell ref="A16:C16"/>
    <mergeCell ref="M16:O16"/>
    <mergeCell ref="E20:F20"/>
    <mergeCell ref="M22:O22"/>
    <mergeCell ref="A23:C23"/>
    <mergeCell ref="E22:G22"/>
    <mergeCell ref="E24:G24"/>
    <mergeCell ref="A26:C26"/>
    <mergeCell ref="A30:C30"/>
    <mergeCell ref="E30:G30"/>
    <mergeCell ref="A33:C33"/>
    <mergeCell ref="A34:C34"/>
    <mergeCell ref="E39:F39"/>
    <mergeCell ref="A40:C40"/>
    <mergeCell ref="E41:G41"/>
    <mergeCell ref="A43:C43"/>
    <mergeCell ref="E43:G43"/>
    <mergeCell ref="I45:K45"/>
    <mergeCell ref="A48:C48"/>
    <mergeCell ref="I72:K72"/>
    <mergeCell ref="I75:K75"/>
    <mergeCell ref="E77:F77"/>
    <mergeCell ref="E79:G79"/>
    <mergeCell ref="E81:G81"/>
    <mergeCell ref="E87:G87"/>
    <mergeCell ref="E95:F9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5" max="5" width="69.5"/>
    <col customWidth="1" min="9" max="9" width="72.63"/>
    <col customWidth="1" min="13" max="13" width="38.88"/>
    <col customWidth="1" min="17" max="17" width="29.0"/>
  </cols>
  <sheetData>
    <row r="2">
      <c r="A2" s="1" t="s">
        <v>0</v>
      </c>
      <c r="B2" s="2"/>
      <c r="C2" s="3"/>
      <c r="E2" s="1" t="s">
        <v>99</v>
      </c>
      <c r="F2" s="2"/>
      <c r="G2" s="3"/>
      <c r="I2" s="1" t="s">
        <v>100</v>
      </c>
      <c r="J2" s="2"/>
      <c r="K2" s="3"/>
      <c r="M2" s="1" t="s">
        <v>101</v>
      </c>
      <c r="N2" s="2"/>
      <c r="O2" s="3"/>
      <c r="Q2" s="1" t="s">
        <v>102</v>
      </c>
      <c r="R2" s="2"/>
      <c r="S2" s="3"/>
    </row>
    <row r="4">
      <c r="A4" s="50" t="s">
        <v>5</v>
      </c>
      <c r="B4" s="7" t="s">
        <v>6</v>
      </c>
      <c r="C4" s="51" t="s">
        <v>7</v>
      </c>
      <c r="E4" s="50" t="s">
        <v>5</v>
      </c>
      <c r="F4" s="7" t="s">
        <v>6</v>
      </c>
      <c r="G4" s="51" t="s">
        <v>7</v>
      </c>
      <c r="I4" s="50" t="s">
        <v>5</v>
      </c>
      <c r="J4" s="7" t="s">
        <v>6</v>
      </c>
      <c r="K4" s="51" t="s">
        <v>7</v>
      </c>
      <c r="M4" s="50" t="s">
        <v>5</v>
      </c>
      <c r="N4" s="7" t="s">
        <v>6</v>
      </c>
      <c r="O4" s="51" t="s">
        <v>7</v>
      </c>
      <c r="Q4" s="50" t="s">
        <v>5</v>
      </c>
      <c r="R4" s="7" t="s">
        <v>6</v>
      </c>
      <c r="S4" s="51" t="s">
        <v>7</v>
      </c>
    </row>
    <row r="5">
      <c r="A5" s="52" t="s">
        <v>103</v>
      </c>
      <c r="C5" s="42"/>
      <c r="I5" s="9" t="s">
        <v>104</v>
      </c>
      <c r="J5" s="2"/>
      <c r="K5" s="3"/>
      <c r="M5" s="9" t="s">
        <v>105</v>
      </c>
      <c r="N5" s="2"/>
      <c r="O5" s="3"/>
      <c r="Q5" s="9" t="s">
        <v>106</v>
      </c>
      <c r="R5" s="2"/>
      <c r="S5" s="3"/>
    </row>
    <row r="6">
      <c r="A6" s="19" t="s">
        <v>107</v>
      </c>
      <c r="B6" s="16" t="s">
        <v>45</v>
      </c>
      <c r="C6" s="40">
        <v>230.0</v>
      </c>
      <c r="E6" s="53" t="s">
        <v>108</v>
      </c>
      <c r="F6" s="2"/>
      <c r="G6" s="3"/>
      <c r="I6" s="13" t="s">
        <v>109</v>
      </c>
      <c r="J6" s="14" t="s">
        <v>110</v>
      </c>
      <c r="K6" s="18">
        <f>G20</f>
        <v>5126.523559</v>
      </c>
      <c r="M6" s="13" t="s">
        <v>111</v>
      </c>
      <c r="N6" s="14" t="s">
        <v>24</v>
      </c>
      <c r="O6" s="18">
        <f>C7+273</f>
        <v>295</v>
      </c>
      <c r="Q6" s="19" t="s">
        <v>112</v>
      </c>
      <c r="R6" s="16" t="s">
        <v>113</v>
      </c>
      <c r="S6" s="54">
        <f>K78</f>
        <v>8.247851649</v>
      </c>
    </row>
    <row r="7">
      <c r="A7" s="24" t="s">
        <v>114</v>
      </c>
      <c r="B7" s="25" t="s">
        <v>45</v>
      </c>
      <c r="C7" s="31">
        <v>22.0</v>
      </c>
      <c r="I7" s="13" t="s">
        <v>115</v>
      </c>
      <c r="J7" s="14" t="s">
        <v>110</v>
      </c>
      <c r="K7" s="18">
        <f>G39</f>
        <v>0.06347457657</v>
      </c>
      <c r="M7" s="13" t="s">
        <v>116</v>
      </c>
      <c r="N7" s="14" t="s">
        <v>110</v>
      </c>
      <c r="O7" s="18">
        <f>G13</f>
        <v>5126.227122</v>
      </c>
      <c r="Q7" s="13" t="s">
        <v>117</v>
      </c>
      <c r="R7" s="14" t="s">
        <v>113</v>
      </c>
      <c r="S7" s="129">
        <f>K51</f>
        <v>0.04057280187</v>
      </c>
    </row>
    <row r="8">
      <c r="A8" s="52" t="s">
        <v>118</v>
      </c>
      <c r="C8" s="42"/>
      <c r="E8" s="10" t="s">
        <v>119</v>
      </c>
      <c r="F8" s="11"/>
      <c r="G8" s="12"/>
      <c r="I8" s="46" t="s">
        <v>120</v>
      </c>
      <c r="J8" s="28" t="s">
        <v>110</v>
      </c>
      <c r="K8" s="59">
        <f>SUM(K6:K7)</f>
        <v>5126.587034</v>
      </c>
      <c r="M8" s="13" t="s">
        <v>121</v>
      </c>
      <c r="N8" s="14" t="s">
        <v>113</v>
      </c>
      <c r="O8" s="18">
        <f>K51</f>
        <v>0.04057280187</v>
      </c>
      <c r="Q8" s="13" t="s">
        <v>122</v>
      </c>
      <c r="R8" s="14" t="s">
        <v>113</v>
      </c>
      <c r="S8" s="129">
        <f>K56</f>
        <v>2.515678847</v>
      </c>
    </row>
    <row r="9">
      <c r="A9" s="19" t="s">
        <v>123</v>
      </c>
      <c r="B9" s="16" t="s">
        <v>52</v>
      </c>
      <c r="C9" s="60">
        <v>155.3</v>
      </c>
      <c r="E9" s="19" t="s">
        <v>124</v>
      </c>
      <c r="F9" s="16" t="s">
        <v>19</v>
      </c>
      <c r="G9" s="61">
        <f>C14</f>
        <v>5.519500293</v>
      </c>
      <c r="I9" s="9" t="s">
        <v>125</v>
      </c>
      <c r="J9" s="2"/>
      <c r="K9" s="3"/>
      <c r="M9" s="46" t="s">
        <v>126</v>
      </c>
      <c r="N9" s="28" t="s">
        <v>24</v>
      </c>
      <c r="O9" s="59">
        <f>O6+O7*O8</f>
        <v>502.9853974</v>
      </c>
      <c r="Q9" s="13" t="s">
        <v>127</v>
      </c>
      <c r="R9" s="25" t="s">
        <v>113</v>
      </c>
      <c r="S9" s="62">
        <f>K69</f>
        <v>5.6916</v>
      </c>
    </row>
    <row r="10">
      <c r="A10" s="13" t="s">
        <v>128</v>
      </c>
      <c r="B10" s="14" t="s">
        <v>52</v>
      </c>
      <c r="C10" s="63">
        <v>112.1</v>
      </c>
      <c r="E10" s="13" t="s">
        <v>35</v>
      </c>
      <c r="F10" s="14" t="s">
        <v>22</v>
      </c>
      <c r="G10" s="18">
        <f t="shared" ref="G10:G11" si="1">C27/1000</f>
        <v>0.001</v>
      </c>
      <c r="I10" s="16" t="s">
        <v>129</v>
      </c>
      <c r="J10" s="16" t="s">
        <v>110</v>
      </c>
      <c r="K10" s="64">
        <f>G58</f>
        <v>0.04404012737</v>
      </c>
      <c r="M10" s="9" t="s">
        <v>130</v>
      </c>
      <c r="N10" s="2"/>
      <c r="O10" s="3"/>
      <c r="Q10" s="41" t="s">
        <v>131</v>
      </c>
      <c r="R10" s="3"/>
      <c r="S10" s="130">
        <f>S6-SUM(S7:S9)</f>
        <v>0</v>
      </c>
    </row>
    <row r="11">
      <c r="A11" s="24" t="s">
        <v>132</v>
      </c>
      <c r="B11" s="24" t="s">
        <v>52</v>
      </c>
      <c r="C11" s="66">
        <v>14.58</v>
      </c>
      <c r="E11" s="13" t="s">
        <v>39</v>
      </c>
      <c r="F11" s="14" t="s">
        <v>22</v>
      </c>
      <c r="G11" s="18">
        <f t="shared" si="1"/>
        <v>0.0035</v>
      </c>
      <c r="I11" s="16" t="s">
        <v>133</v>
      </c>
      <c r="J11" s="16" t="s">
        <v>110</v>
      </c>
      <c r="K11" s="64">
        <f>G77</f>
        <v>0.09116760082</v>
      </c>
      <c r="M11" s="13" t="s">
        <v>126</v>
      </c>
      <c r="N11" s="14" t="s">
        <v>24</v>
      </c>
      <c r="O11" s="18">
        <f>O9</f>
        <v>502.9853974</v>
      </c>
    </row>
    <row r="12">
      <c r="A12" s="10" t="s">
        <v>11</v>
      </c>
      <c r="B12" s="11"/>
      <c r="C12" s="12"/>
      <c r="E12" s="13" t="s">
        <v>134</v>
      </c>
      <c r="F12" s="14" t="s">
        <v>28</v>
      </c>
      <c r="G12" s="18">
        <f>pi()*(G11^2-G10^2)</f>
        <v>0.00003534291735</v>
      </c>
      <c r="I12" s="14" t="s">
        <v>135</v>
      </c>
      <c r="J12" s="14" t="s">
        <v>110</v>
      </c>
      <c r="K12" s="18">
        <f t="shared" ref="K12:K17" si="2">$G$95</f>
        <v>11.98875629</v>
      </c>
      <c r="M12" s="13" t="s">
        <v>136</v>
      </c>
      <c r="N12" s="14" t="s">
        <v>110</v>
      </c>
      <c r="O12" s="18">
        <f>G19</f>
        <v>0.2964368406</v>
      </c>
      <c r="Q12" s="50" t="s">
        <v>5</v>
      </c>
      <c r="R12" s="7" t="s">
        <v>6</v>
      </c>
      <c r="S12" s="51" t="s">
        <v>7</v>
      </c>
    </row>
    <row r="13">
      <c r="A13" s="19" t="s">
        <v>18</v>
      </c>
      <c r="B13" s="16" t="s">
        <v>19</v>
      </c>
      <c r="C13" s="40">
        <f>'Natural and Forced Convection C'!S5</f>
        <v>4.504503146</v>
      </c>
      <c r="E13" s="46" t="s">
        <v>116</v>
      </c>
      <c r="F13" s="28" t="s">
        <v>110</v>
      </c>
      <c r="G13" s="59">
        <f>1/(G9*G12)</f>
        <v>5126.227122</v>
      </c>
      <c r="I13" s="14" t="s">
        <v>137</v>
      </c>
      <c r="J13" s="14" t="s">
        <v>110</v>
      </c>
      <c r="K13" s="18">
        <f t="shared" si="2"/>
        <v>11.98875629</v>
      </c>
      <c r="M13" s="13" t="s">
        <v>121</v>
      </c>
      <c r="N13" s="14" t="s">
        <v>113</v>
      </c>
      <c r="O13" s="18">
        <f>K51</f>
        <v>0.04057280187</v>
      </c>
      <c r="Q13" s="9" t="s">
        <v>138</v>
      </c>
      <c r="R13" s="2"/>
      <c r="S13" s="3"/>
    </row>
    <row r="14">
      <c r="A14" s="13" t="s">
        <v>25</v>
      </c>
      <c r="B14" s="14" t="s">
        <v>19</v>
      </c>
      <c r="C14" s="30">
        <f>'Natural and Forced Convection C'!S6</f>
        <v>5.519500293</v>
      </c>
      <c r="E14" s="9" t="s">
        <v>139</v>
      </c>
      <c r="F14" s="2"/>
      <c r="G14" s="3"/>
      <c r="I14" s="14" t="s">
        <v>140</v>
      </c>
      <c r="J14" s="14" t="s">
        <v>110</v>
      </c>
      <c r="K14" s="18">
        <f t="shared" si="2"/>
        <v>11.98875629</v>
      </c>
      <c r="M14" s="46" t="s">
        <v>141</v>
      </c>
      <c r="N14" s="28" t="s">
        <v>24</v>
      </c>
      <c r="O14" s="59">
        <f>O11+O12*O13</f>
        <v>502.9974247</v>
      </c>
      <c r="Q14" s="19" t="s">
        <v>142</v>
      </c>
      <c r="R14" s="16" t="s">
        <v>45</v>
      </c>
      <c r="S14" s="67">
        <f>C7</f>
        <v>22</v>
      </c>
    </row>
    <row r="15">
      <c r="A15" s="24" t="s">
        <v>30</v>
      </c>
      <c r="B15" s="25" t="s">
        <v>19</v>
      </c>
      <c r="C15" s="31">
        <f>'Natural and Forced Convection C'!S7</f>
        <v>54.43080556</v>
      </c>
      <c r="E15" s="19" t="s">
        <v>35</v>
      </c>
      <c r="F15" s="16" t="s">
        <v>22</v>
      </c>
      <c r="G15" s="45">
        <f t="shared" ref="G15:G17" si="3">C27/1000</f>
        <v>0.001</v>
      </c>
      <c r="I15" s="14" t="s">
        <v>143</v>
      </c>
      <c r="J15" s="14" t="s">
        <v>110</v>
      </c>
      <c r="K15" s="18">
        <f t="shared" si="2"/>
        <v>11.98875629</v>
      </c>
      <c r="Q15" s="13" t="s">
        <v>126</v>
      </c>
      <c r="R15" s="14" t="s">
        <v>45</v>
      </c>
      <c r="S15" s="68">
        <f>O9-273</f>
        <v>229.9853974</v>
      </c>
    </row>
    <row r="16">
      <c r="A16" s="9" t="s">
        <v>144</v>
      </c>
      <c r="B16" s="2"/>
      <c r="C16" s="3"/>
      <c r="E16" s="13" t="s">
        <v>39</v>
      </c>
      <c r="F16" s="14" t="s">
        <v>22</v>
      </c>
      <c r="G16" s="18">
        <f t="shared" si="3"/>
        <v>0.0035</v>
      </c>
      <c r="I16" s="14" t="s">
        <v>145</v>
      </c>
      <c r="J16" s="14" t="s">
        <v>110</v>
      </c>
      <c r="K16" s="18">
        <f t="shared" si="2"/>
        <v>11.98875629</v>
      </c>
      <c r="M16" s="9" t="s">
        <v>146</v>
      </c>
      <c r="N16" s="2"/>
      <c r="O16" s="3"/>
      <c r="Q16" s="13" t="s">
        <v>141</v>
      </c>
      <c r="R16" s="14" t="s">
        <v>45</v>
      </c>
      <c r="S16" s="68">
        <f>O14-273</f>
        <v>229.9974247</v>
      </c>
    </row>
    <row r="17">
      <c r="A17" s="19" t="s">
        <v>147</v>
      </c>
      <c r="B17" s="16" t="s">
        <v>55</v>
      </c>
      <c r="C17" s="40">
        <v>1240.0</v>
      </c>
      <c r="E17" s="13" t="s">
        <v>43</v>
      </c>
      <c r="F17" s="14" t="s">
        <v>22</v>
      </c>
      <c r="G17" s="18">
        <f t="shared" si="3"/>
        <v>0.006</v>
      </c>
      <c r="I17" s="14" t="s">
        <v>423</v>
      </c>
      <c r="J17" s="14" t="s">
        <v>110</v>
      </c>
      <c r="K17" s="18">
        <f t="shared" si="2"/>
        <v>11.98875629</v>
      </c>
      <c r="M17" s="13" t="s">
        <v>111</v>
      </c>
      <c r="N17" s="14" t="s">
        <v>24</v>
      </c>
      <c r="O17" s="18">
        <f>C7+273</f>
        <v>295</v>
      </c>
      <c r="Q17" s="13" t="s">
        <v>149</v>
      </c>
      <c r="R17" s="14" t="s">
        <v>45</v>
      </c>
      <c r="S17" s="68">
        <f>C6</f>
        <v>230</v>
      </c>
    </row>
    <row r="18">
      <c r="A18" s="13" t="s">
        <v>150</v>
      </c>
      <c r="B18" s="14" t="s">
        <v>151</v>
      </c>
      <c r="C18" s="30">
        <v>15.0</v>
      </c>
      <c r="E18" s="13" t="s">
        <v>152</v>
      </c>
      <c r="F18" s="14" t="s">
        <v>52</v>
      </c>
      <c r="G18" s="18">
        <f>C10</f>
        <v>112.1</v>
      </c>
      <c r="I18" s="14" t="s">
        <v>148</v>
      </c>
      <c r="J18" s="14" t="s">
        <v>110</v>
      </c>
      <c r="K18" s="22">
        <f t="shared" ref="K18:K19" si="4">G129</f>
        <v>0.8478850099</v>
      </c>
      <c r="M18" s="13" t="s">
        <v>154</v>
      </c>
      <c r="N18" s="14" t="s">
        <v>110</v>
      </c>
      <c r="O18" s="18">
        <f>K41</f>
        <v>0.0003655261291</v>
      </c>
      <c r="Q18" s="13" t="s">
        <v>155</v>
      </c>
      <c r="R18" s="14" t="s">
        <v>45</v>
      </c>
      <c r="S18" s="68">
        <f>O71-273</f>
        <v>229.8892092</v>
      </c>
    </row>
    <row r="19">
      <c r="A19" s="13" t="s">
        <v>156</v>
      </c>
      <c r="B19" s="14" t="s">
        <v>157</v>
      </c>
      <c r="C19" s="30">
        <v>1800.0</v>
      </c>
      <c r="E19" s="46" t="s">
        <v>136</v>
      </c>
      <c r="F19" s="28" t="s">
        <v>110</v>
      </c>
      <c r="G19" s="47">
        <f>LN((G16/G15))/(2*pi()*G17*G18)</f>
        <v>0.2964368406</v>
      </c>
      <c r="I19" s="14" t="s">
        <v>153</v>
      </c>
      <c r="J19" s="14" t="s">
        <v>110</v>
      </c>
      <c r="K19" s="22">
        <f t="shared" si="4"/>
        <v>0.0003655163591</v>
      </c>
      <c r="M19" s="13" t="s">
        <v>159</v>
      </c>
      <c r="N19" s="14" t="s">
        <v>113</v>
      </c>
      <c r="O19" s="18">
        <f>K56</f>
        <v>2.515678847</v>
      </c>
      <c r="Q19" s="13" t="s">
        <v>160</v>
      </c>
      <c r="R19" s="14" t="s">
        <v>45</v>
      </c>
      <c r="S19" s="68">
        <f>O66-273</f>
        <v>229.6598608</v>
      </c>
    </row>
    <row r="20">
      <c r="A20" s="13" t="s">
        <v>161</v>
      </c>
      <c r="B20" s="14" t="s">
        <v>45</v>
      </c>
      <c r="C20" s="30">
        <v>60.0</v>
      </c>
      <c r="E20" s="69" t="s">
        <v>109</v>
      </c>
      <c r="F20" s="3"/>
      <c r="G20" s="70">
        <f>G13+G19</f>
        <v>5126.523559</v>
      </c>
      <c r="I20" s="14" t="s">
        <v>158</v>
      </c>
      <c r="J20" s="14" t="s">
        <v>110</v>
      </c>
      <c r="K20" s="22">
        <f t="shared" ref="K20:K21" si="5">G129</f>
        <v>0.8478850099</v>
      </c>
      <c r="M20" s="46" t="s">
        <v>163</v>
      </c>
      <c r="N20" s="28" t="s">
        <v>24</v>
      </c>
      <c r="O20" s="59">
        <f>O17+O18*O19</f>
        <v>295.0009195</v>
      </c>
      <c r="Q20" s="13" t="s">
        <v>164</v>
      </c>
      <c r="R20" s="22"/>
      <c r="S20" s="18">
        <f>O60-273</f>
        <v>199.5000002</v>
      </c>
    </row>
    <row r="21">
      <c r="A21" s="24" t="s">
        <v>165</v>
      </c>
      <c r="B21" s="25" t="s">
        <v>45</v>
      </c>
      <c r="C21" s="31">
        <v>230.0</v>
      </c>
      <c r="I21" s="14" t="s">
        <v>162</v>
      </c>
      <c r="J21" s="14" t="s">
        <v>110</v>
      </c>
      <c r="K21" s="22">
        <f t="shared" si="5"/>
        <v>0.0003655163591</v>
      </c>
      <c r="Q21" s="13" t="s">
        <v>167</v>
      </c>
      <c r="R21" s="22"/>
      <c r="S21" s="18">
        <f>O59-273</f>
        <v>169.3401396</v>
      </c>
    </row>
    <row r="22">
      <c r="E22" s="53" t="s">
        <v>115</v>
      </c>
      <c r="F22" s="2"/>
      <c r="G22" s="3"/>
      <c r="I22" s="14" t="s">
        <v>166</v>
      </c>
      <c r="J22" s="14" t="s">
        <v>110</v>
      </c>
      <c r="K22" s="22">
        <f t="shared" ref="K22:K23" si="6">G129</f>
        <v>0.8478850099</v>
      </c>
      <c r="M22" s="9" t="s">
        <v>169</v>
      </c>
      <c r="N22" s="2"/>
      <c r="O22" s="3"/>
      <c r="Q22" s="13" t="s">
        <v>170</v>
      </c>
      <c r="R22" s="22"/>
      <c r="S22" s="18">
        <f>O58-273</f>
        <v>139.180279</v>
      </c>
    </row>
    <row r="23">
      <c r="A23" s="1" t="s">
        <v>171</v>
      </c>
      <c r="B23" s="2"/>
      <c r="C23" s="3"/>
      <c r="I23" s="14" t="s">
        <v>168</v>
      </c>
      <c r="J23" s="14" t="s">
        <v>110</v>
      </c>
      <c r="K23" s="22">
        <f t="shared" si="6"/>
        <v>0.0003655163591</v>
      </c>
      <c r="M23" s="19" t="s">
        <v>173</v>
      </c>
      <c r="N23" s="16" t="s">
        <v>110</v>
      </c>
      <c r="O23" s="45">
        <f t="shared" ref="O23:O24" si="7">K40</f>
        <v>0.9348266406</v>
      </c>
      <c r="Q23" s="13" t="s">
        <v>174</v>
      </c>
      <c r="R23" s="22"/>
      <c r="S23" s="18">
        <f>O57-273</f>
        <v>109.0204183</v>
      </c>
    </row>
    <row r="24">
      <c r="E24" s="9" t="s">
        <v>175</v>
      </c>
      <c r="F24" s="2"/>
      <c r="G24" s="3"/>
      <c r="I24" s="14" t="s">
        <v>172</v>
      </c>
      <c r="J24" s="14" t="s">
        <v>110</v>
      </c>
      <c r="K24" s="22">
        <f t="shared" ref="K24:K25" si="8">G129</f>
        <v>0.8478850099</v>
      </c>
      <c r="M24" s="13" t="s">
        <v>177</v>
      </c>
      <c r="N24" s="14" t="s">
        <v>110</v>
      </c>
      <c r="O24" s="18">
        <f t="shared" si="7"/>
        <v>0.0003655261291</v>
      </c>
      <c r="Q24" s="13" t="s">
        <v>431</v>
      </c>
      <c r="R24" s="22"/>
      <c r="S24" s="18">
        <f>O56-273</f>
        <v>78.86055774</v>
      </c>
    </row>
    <row r="25">
      <c r="A25" s="50" t="s">
        <v>5</v>
      </c>
      <c r="B25" s="7" t="s">
        <v>6</v>
      </c>
      <c r="C25" s="51" t="s">
        <v>7</v>
      </c>
      <c r="E25" s="19" t="s">
        <v>35</v>
      </c>
      <c r="F25" s="16" t="s">
        <v>22</v>
      </c>
      <c r="G25" s="45">
        <f t="shared" ref="G25:G26" si="9">C31/1000</f>
        <v>0.001</v>
      </c>
      <c r="I25" s="14" t="s">
        <v>176</v>
      </c>
      <c r="J25" s="14" t="s">
        <v>110</v>
      </c>
      <c r="K25" s="22">
        <f t="shared" si="8"/>
        <v>0.0003655163591</v>
      </c>
      <c r="M25" s="13" t="s">
        <v>180</v>
      </c>
      <c r="N25" s="14" t="s">
        <v>110</v>
      </c>
      <c r="O25" s="18">
        <f>K30</f>
        <v>0.8478850099</v>
      </c>
      <c r="Q25" s="13" t="s">
        <v>178</v>
      </c>
      <c r="R25" s="14" t="s">
        <v>45</v>
      </c>
      <c r="S25" s="68">
        <f>O51-273</f>
        <v>48.70069713</v>
      </c>
    </row>
    <row r="26">
      <c r="A26" s="9" t="s">
        <v>182</v>
      </c>
      <c r="B26" s="2"/>
      <c r="C26" s="3"/>
      <c r="E26" s="13" t="s">
        <v>39</v>
      </c>
      <c r="F26" s="14" t="s">
        <v>22</v>
      </c>
      <c r="G26" s="18">
        <f t="shared" si="9"/>
        <v>0.003</v>
      </c>
      <c r="I26" s="14" t="s">
        <v>179</v>
      </c>
      <c r="J26" s="14" t="s">
        <v>110</v>
      </c>
      <c r="K26" s="22">
        <f t="shared" ref="K26:K27" si="10">G129</f>
        <v>0.8478850099</v>
      </c>
      <c r="M26" s="13" t="s">
        <v>177</v>
      </c>
      <c r="N26" s="14" t="s">
        <v>110</v>
      </c>
      <c r="O26" s="18">
        <f>K29</f>
        <v>0.0003655163591</v>
      </c>
      <c r="Q26" s="13" t="s">
        <v>181</v>
      </c>
      <c r="R26" s="14" t="s">
        <v>45</v>
      </c>
      <c r="S26" s="68">
        <f>O50-273</f>
        <v>46.56769075</v>
      </c>
    </row>
    <row r="27">
      <c r="A27" s="19" t="s">
        <v>35</v>
      </c>
      <c r="B27" s="16" t="s">
        <v>21</v>
      </c>
      <c r="C27" s="40">
        <v>1.0</v>
      </c>
      <c r="E27" s="13" t="s">
        <v>185</v>
      </c>
      <c r="F27" s="14" t="s">
        <v>22</v>
      </c>
      <c r="G27" s="18">
        <f>C37/1000</f>
        <v>0.004</v>
      </c>
      <c r="I27" s="14" t="s">
        <v>183</v>
      </c>
      <c r="J27" s="14" t="s">
        <v>110</v>
      </c>
      <c r="K27" s="22">
        <f t="shared" si="10"/>
        <v>0.0003655163591</v>
      </c>
      <c r="M27" s="24" t="s">
        <v>159</v>
      </c>
      <c r="N27" s="25" t="s">
        <v>113</v>
      </c>
      <c r="O27" s="71">
        <f>K56</f>
        <v>2.515678847</v>
      </c>
      <c r="Q27" s="13" t="s">
        <v>184</v>
      </c>
      <c r="R27" s="14" t="s">
        <v>45</v>
      </c>
      <c r="S27" s="68">
        <f>O49-273</f>
        <v>46.56677122</v>
      </c>
    </row>
    <row r="28">
      <c r="A28" s="13" t="s">
        <v>39</v>
      </c>
      <c r="B28" s="14" t="s">
        <v>21</v>
      </c>
      <c r="C28" s="30">
        <v>3.5</v>
      </c>
      <c r="E28" s="13" t="s">
        <v>152</v>
      </c>
      <c r="F28" s="14" t="s">
        <v>52</v>
      </c>
      <c r="G28" s="18">
        <f>C10</f>
        <v>112.1</v>
      </c>
      <c r="I28" s="14" t="s">
        <v>186</v>
      </c>
      <c r="J28" s="14" t="s">
        <v>110</v>
      </c>
      <c r="K28" s="22">
        <f t="shared" ref="K28:K29" si="11">G129</f>
        <v>0.8478850099</v>
      </c>
      <c r="M28" s="19" t="s">
        <v>163</v>
      </c>
      <c r="N28" s="16" t="s">
        <v>24</v>
      </c>
      <c r="O28" s="64">
        <f>O20</f>
        <v>295.0009195</v>
      </c>
      <c r="Q28" s="13" t="s">
        <v>187</v>
      </c>
      <c r="R28" s="14" t="s">
        <v>45</v>
      </c>
      <c r="S28" s="68">
        <f>O48-273</f>
        <v>44.43376484</v>
      </c>
    </row>
    <row r="29">
      <c r="A29" s="24" t="s">
        <v>43</v>
      </c>
      <c r="B29" s="25" t="s">
        <v>21</v>
      </c>
      <c r="C29" s="31">
        <v>6.0</v>
      </c>
      <c r="E29" s="32" t="s">
        <v>190</v>
      </c>
      <c r="F29" s="33" t="s">
        <v>110</v>
      </c>
      <c r="G29" s="34">
        <f>LN((G26/G25))/(2*pi()*G27*G28)</f>
        <v>0.3899410711</v>
      </c>
      <c r="I29" s="14" t="s">
        <v>188</v>
      </c>
      <c r="J29" s="14" t="s">
        <v>110</v>
      </c>
      <c r="K29" s="22">
        <f t="shared" si="11"/>
        <v>0.0003655163591</v>
      </c>
      <c r="M29" s="13" t="s">
        <v>192</v>
      </c>
      <c r="N29" s="14" t="s">
        <v>24</v>
      </c>
      <c r="O29" s="22">
        <f>O28+$O$27*$O$23</f>
        <v>297.3526432</v>
      </c>
      <c r="P29" s="72" t="s">
        <v>193</v>
      </c>
      <c r="Q29" s="13" t="s">
        <v>189</v>
      </c>
      <c r="R29" s="14" t="s">
        <v>45</v>
      </c>
      <c r="S29" s="68">
        <f>O47-273</f>
        <v>44.43284532</v>
      </c>
    </row>
    <row r="30">
      <c r="A30" s="73" t="s">
        <v>195</v>
      </c>
      <c r="B30" s="2"/>
      <c r="C30" s="3"/>
      <c r="E30" s="9" t="s">
        <v>196</v>
      </c>
      <c r="F30" s="2"/>
      <c r="G30" s="3"/>
      <c r="I30" s="14" t="s">
        <v>191</v>
      </c>
      <c r="J30" s="14" t="s">
        <v>110</v>
      </c>
      <c r="K30" s="22">
        <f>G129</f>
        <v>0.8478850099</v>
      </c>
      <c r="M30" s="13" t="s">
        <v>198</v>
      </c>
      <c r="N30" s="14" t="s">
        <v>24</v>
      </c>
      <c r="O30" s="22">
        <f>O29+$O$27*$O$24</f>
        <v>297.3535627</v>
      </c>
      <c r="Q30" s="13" t="s">
        <v>194</v>
      </c>
      <c r="R30" s="14" t="s">
        <v>45</v>
      </c>
      <c r="S30" s="68">
        <f>O46-273</f>
        <v>42.29983893</v>
      </c>
    </row>
    <row r="31">
      <c r="A31" s="16" t="s">
        <v>35</v>
      </c>
      <c r="B31" s="16" t="s">
        <v>21</v>
      </c>
      <c r="C31" s="40">
        <v>1.0</v>
      </c>
      <c r="E31" s="13" t="s">
        <v>200</v>
      </c>
      <c r="F31" s="14" t="s">
        <v>52</v>
      </c>
      <c r="G31" s="45">
        <f>C9</f>
        <v>155.3</v>
      </c>
      <c r="I31" s="14" t="s">
        <v>197</v>
      </c>
      <c r="J31" s="14" t="s">
        <v>110</v>
      </c>
      <c r="K31" s="22">
        <f>G132</f>
        <v>0.0003655261291</v>
      </c>
      <c r="M31" s="13" t="s">
        <v>202</v>
      </c>
      <c r="N31" s="14" t="s">
        <v>24</v>
      </c>
      <c r="O31" s="22">
        <f>O30+$O$27*$O$23</f>
        <v>299.7052863</v>
      </c>
      <c r="P31" s="72" t="s">
        <v>203</v>
      </c>
      <c r="Q31" s="13" t="s">
        <v>199</v>
      </c>
      <c r="R31" s="14" t="s">
        <v>45</v>
      </c>
      <c r="S31" s="68">
        <f>O45-273</f>
        <v>42.29891941</v>
      </c>
    </row>
    <row r="32">
      <c r="A32" s="14" t="s">
        <v>39</v>
      </c>
      <c r="B32" s="14" t="s">
        <v>21</v>
      </c>
      <c r="C32" s="30">
        <v>3.0</v>
      </c>
      <c r="E32" s="13" t="s">
        <v>185</v>
      </c>
      <c r="F32" s="14" t="s">
        <v>22</v>
      </c>
      <c r="G32" s="18">
        <f>C37/1000</f>
        <v>0.004</v>
      </c>
      <c r="I32" s="14" t="s">
        <v>201</v>
      </c>
      <c r="J32" s="14" t="s">
        <v>110</v>
      </c>
      <c r="K32" s="22">
        <f t="shared" ref="K32:K33" si="12">G131</f>
        <v>0.9348266406</v>
      </c>
      <c r="M32" s="13" t="s">
        <v>206</v>
      </c>
      <c r="N32" s="14" t="s">
        <v>24</v>
      </c>
      <c r="O32" s="22">
        <f>O31+$O$27*$O$24</f>
        <v>299.7062059</v>
      </c>
      <c r="Q32" s="13" t="s">
        <v>204</v>
      </c>
      <c r="R32" s="14" t="s">
        <v>45</v>
      </c>
      <c r="S32" s="68">
        <f>O44-273</f>
        <v>40.16591303</v>
      </c>
    </row>
    <row r="33">
      <c r="A33" s="9" t="s">
        <v>208</v>
      </c>
      <c r="B33" s="2"/>
      <c r="C33" s="3"/>
      <c r="E33" s="13" t="s">
        <v>65</v>
      </c>
      <c r="F33" s="14" t="s">
        <v>22</v>
      </c>
      <c r="G33" s="18">
        <f t="shared" ref="G33:G34" si="13">C35/1000</f>
        <v>0.023</v>
      </c>
      <c r="I33" s="14" t="s">
        <v>205</v>
      </c>
      <c r="J33" s="14" t="s">
        <v>110</v>
      </c>
      <c r="K33" s="22">
        <f t="shared" si="12"/>
        <v>0.0003655261291</v>
      </c>
      <c r="M33" s="13" t="s">
        <v>210</v>
      </c>
      <c r="N33" s="14" t="s">
        <v>24</v>
      </c>
      <c r="O33" s="22">
        <f>O32+$O$27*$O$23</f>
        <v>302.0579295</v>
      </c>
      <c r="P33" s="72" t="s">
        <v>211</v>
      </c>
      <c r="Q33" s="13" t="s">
        <v>207</v>
      </c>
      <c r="R33" s="14" t="s">
        <v>45</v>
      </c>
      <c r="S33" s="68">
        <f>O43-273</f>
        <v>40.1649935</v>
      </c>
    </row>
    <row r="34">
      <c r="A34" s="74" t="s">
        <v>213</v>
      </c>
      <c r="B34" s="11"/>
      <c r="C34" s="12"/>
      <c r="E34" s="13" t="s">
        <v>68</v>
      </c>
      <c r="F34" s="14" t="s">
        <v>22</v>
      </c>
      <c r="G34" s="18">
        <f t="shared" si="13"/>
        <v>0.016</v>
      </c>
      <c r="I34" s="14" t="s">
        <v>209</v>
      </c>
      <c r="J34" s="14" t="s">
        <v>110</v>
      </c>
      <c r="K34" s="22">
        <f t="shared" ref="K34:K35" si="14">G131</f>
        <v>0.9348266406</v>
      </c>
      <c r="M34" s="13" t="s">
        <v>215</v>
      </c>
      <c r="N34" s="14" t="s">
        <v>24</v>
      </c>
      <c r="O34" s="22">
        <f>O33+$O$27*$O$24</f>
        <v>302.058849</v>
      </c>
      <c r="Q34" s="13" t="s">
        <v>212</v>
      </c>
      <c r="R34" s="14" t="s">
        <v>45</v>
      </c>
      <c r="S34" s="68">
        <f>O42-273</f>
        <v>38.03198712</v>
      </c>
    </row>
    <row r="35">
      <c r="A35" s="19" t="s">
        <v>65</v>
      </c>
      <c r="B35" s="16" t="s">
        <v>21</v>
      </c>
      <c r="C35" s="40">
        <v>23.0</v>
      </c>
      <c r="E35" s="13" t="s">
        <v>220</v>
      </c>
      <c r="F35" s="14" t="s">
        <v>28</v>
      </c>
      <c r="G35" s="18">
        <f>G34*G33</f>
        <v>0.000368</v>
      </c>
      <c r="I35" s="14" t="s">
        <v>214</v>
      </c>
      <c r="J35" s="14" t="s">
        <v>110</v>
      </c>
      <c r="K35" s="22">
        <f t="shared" si="14"/>
        <v>0.0003655261291</v>
      </c>
      <c r="M35" s="13" t="s">
        <v>222</v>
      </c>
      <c r="N35" s="14" t="s">
        <v>24</v>
      </c>
      <c r="O35" s="22">
        <f>O34+$O$27*$O$23</f>
        <v>304.4105726</v>
      </c>
      <c r="P35" s="72" t="s">
        <v>223</v>
      </c>
      <c r="Q35" s="13" t="s">
        <v>216</v>
      </c>
      <c r="R35" s="14" t="s">
        <v>45</v>
      </c>
      <c r="S35" s="68">
        <f>O41-273</f>
        <v>38.0310676</v>
      </c>
    </row>
    <row r="36">
      <c r="A36" s="13" t="s">
        <v>68</v>
      </c>
      <c r="B36" s="14" t="s">
        <v>21</v>
      </c>
      <c r="C36" s="30">
        <v>16.0</v>
      </c>
      <c r="E36" s="13" t="s">
        <v>229</v>
      </c>
      <c r="F36" s="14" t="s">
        <v>28</v>
      </c>
      <c r="G36" s="18">
        <f>pi()*(G26)^2</f>
        <v>0.00002827433388</v>
      </c>
      <c r="I36" s="14" t="s">
        <v>221</v>
      </c>
      <c r="J36" s="14" t="s">
        <v>110</v>
      </c>
      <c r="K36" s="22">
        <f t="shared" ref="K36:K37" si="15">G131</f>
        <v>0.9348266406</v>
      </c>
      <c r="M36" s="13" t="s">
        <v>231</v>
      </c>
      <c r="N36" s="14" t="s">
        <v>24</v>
      </c>
      <c r="O36" s="22">
        <f>O35+$O$27*$O$24</f>
        <v>304.4114922</v>
      </c>
      <c r="Q36" s="13" t="s">
        <v>224</v>
      </c>
      <c r="R36" s="14" t="s">
        <v>45</v>
      </c>
      <c r="S36" s="68">
        <f>O40-273</f>
        <v>35.89806121</v>
      </c>
    </row>
    <row r="37">
      <c r="A37" s="14" t="s">
        <v>233</v>
      </c>
      <c r="B37" s="14" t="s">
        <v>21</v>
      </c>
      <c r="C37" s="30">
        <v>4.0</v>
      </c>
      <c r="E37" s="13" t="s">
        <v>234</v>
      </c>
      <c r="F37" s="14" t="s">
        <v>28</v>
      </c>
      <c r="G37" s="18">
        <f>G35-G36</f>
        <v>0.0003397256661</v>
      </c>
      <c r="I37" s="14" t="s">
        <v>230</v>
      </c>
      <c r="J37" s="14" t="s">
        <v>110</v>
      </c>
      <c r="K37" s="22">
        <f t="shared" si="15"/>
        <v>0.0003655261291</v>
      </c>
      <c r="M37" s="13" t="s">
        <v>236</v>
      </c>
      <c r="N37" s="14" t="s">
        <v>24</v>
      </c>
      <c r="O37" s="22">
        <f>O36+$O$27*$O$23</f>
        <v>306.7632158</v>
      </c>
      <c r="P37" s="72" t="s">
        <v>237</v>
      </c>
      <c r="Q37" s="13" t="s">
        <v>232</v>
      </c>
      <c r="R37" s="14" t="s">
        <v>45</v>
      </c>
      <c r="S37" s="68">
        <f>O39-273</f>
        <v>35.89714169</v>
      </c>
    </row>
    <row r="38">
      <c r="A38" s="14" t="s">
        <v>239</v>
      </c>
      <c r="B38" s="14" t="s">
        <v>21</v>
      </c>
      <c r="C38" s="30">
        <v>2.5</v>
      </c>
      <c r="E38" s="46" t="s">
        <v>240</v>
      </c>
      <c r="F38" s="28" t="s">
        <v>110</v>
      </c>
      <c r="G38" s="47">
        <f>G32/(G31*G37)</f>
        <v>0.07581587939</v>
      </c>
      <c r="I38" s="14" t="s">
        <v>235</v>
      </c>
      <c r="J38" s="14" t="s">
        <v>110</v>
      </c>
      <c r="K38" s="22">
        <f t="shared" ref="K38:K39" si="16">G131</f>
        <v>0.9348266406</v>
      </c>
      <c r="M38" s="13" t="s">
        <v>238</v>
      </c>
      <c r="N38" s="14" t="s">
        <v>24</v>
      </c>
      <c r="O38" s="22">
        <f>O37+$O$27*$O$24</f>
        <v>306.7641353</v>
      </c>
      <c r="Q38" s="13" t="s">
        <v>238</v>
      </c>
      <c r="R38" s="14" t="s">
        <v>45</v>
      </c>
      <c r="S38" s="68">
        <f>O38-273</f>
        <v>33.76413531</v>
      </c>
    </row>
    <row r="39">
      <c r="A39" s="25" t="s">
        <v>242</v>
      </c>
      <c r="B39" s="76" t="s">
        <v>21</v>
      </c>
      <c r="C39" s="31">
        <v>5.0</v>
      </c>
      <c r="E39" s="69" t="s">
        <v>115</v>
      </c>
      <c r="F39" s="3"/>
      <c r="G39" s="70">
        <f>((1/G29)+(1/G38))^(-1)</f>
        <v>0.06347457657</v>
      </c>
      <c r="I39" s="14" t="s">
        <v>241</v>
      </c>
      <c r="J39" s="14" t="s">
        <v>110</v>
      </c>
      <c r="K39" s="22">
        <f t="shared" si="16"/>
        <v>0.0003655261291</v>
      </c>
      <c r="M39" s="13" t="s">
        <v>232</v>
      </c>
      <c r="N39" s="14" t="s">
        <v>24</v>
      </c>
      <c r="O39" s="22">
        <f>O38+$O$27*$O$25</f>
        <v>308.8971417</v>
      </c>
      <c r="P39" s="72" t="s">
        <v>244</v>
      </c>
      <c r="Q39" s="13" t="s">
        <v>236</v>
      </c>
      <c r="R39" s="14" t="s">
        <v>45</v>
      </c>
      <c r="S39" s="68">
        <f>O37-273</f>
        <v>33.76321576</v>
      </c>
    </row>
    <row r="40">
      <c r="A40" s="73" t="s">
        <v>245</v>
      </c>
      <c r="B40" s="2"/>
      <c r="C40" s="3"/>
      <c r="I40" s="14" t="s">
        <v>243</v>
      </c>
      <c r="J40" s="14" t="s">
        <v>110</v>
      </c>
      <c r="K40" s="22">
        <f t="shared" ref="K40:K41" si="17">G131</f>
        <v>0.9348266406</v>
      </c>
      <c r="M40" s="13" t="s">
        <v>224</v>
      </c>
      <c r="N40" s="14" t="s">
        <v>24</v>
      </c>
      <c r="O40" s="22">
        <f>O39+$O$27*$O$26</f>
        <v>308.8980612</v>
      </c>
      <c r="Q40" s="13" t="s">
        <v>231</v>
      </c>
      <c r="R40" s="14" t="s">
        <v>45</v>
      </c>
      <c r="S40" s="68">
        <f>O36-273</f>
        <v>31.41149216</v>
      </c>
    </row>
    <row r="41">
      <c r="A41" s="16" t="s">
        <v>35</v>
      </c>
      <c r="B41" s="16" t="s">
        <v>21</v>
      </c>
      <c r="C41" s="40">
        <v>1.0</v>
      </c>
      <c r="E41" s="53" t="s">
        <v>129</v>
      </c>
      <c r="F41" s="2"/>
      <c r="G41" s="3"/>
      <c r="I41" s="14" t="s">
        <v>246</v>
      </c>
      <c r="J41" s="14" t="s">
        <v>110</v>
      </c>
      <c r="K41" s="22">
        <f t="shared" si="17"/>
        <v>0.0003655261291</v>
      </c>
      <c r="M41" s="13" t="s">
        <v>216</v>
      </c>
      <c r="N41" s="14" t="s">
        <v>24</v>
      </c>
      <c r="O41" s="22">
        <f>O40+$O$27*$O$25</f>
        <v>311.0310676</v>
      </c>
      <c r="P41" s="72" t="s">
        <v>248</v>
      </c>
      <c r="Q41" s="13" t="s">
        <v>222</v>
      </c>
      <c r="R41" s="14" t="s">
        <v>45</v>
      </c>
      <c r="S41" s="68">
        <f>O35-273</f>
        <v>31.41057261</v>
      </c>
    </row>
    <row r="42">
      <c r="A42" s="14" t="s">
        <v>39</v>
      </c>
      <c r="B42" s="14" t="s">
        <v>21</v>
      </c>
      <c r="C42" s="30">
        <v>3.0</v>
      </c>
      <c r="I42" s="28" t="s">
        <v>247</v>
      </c>
      <c r="J42" s="28" t="s">
        <v>110</v>
      </c>
      <c r="K42" s="28">
        <f>SUM(K10:K41)</f>
        <v>82.68146</v>
      </c>
      <c r="M42" s="13" t="s">
        <v>212</v>
      </c>
      <c r="N42" s="14" t="s">
        <v>24</v>
      </c>
      <c r="O42" s="22">
        <f>O41+$O$27*$O$26</f>
        <v>311.0319871</v>
      </c>
      <c r="Q42" s="13" t="s">
        <v>215</v>
      </c>
      <c r="R42" s="14" t="s">
        <v>45</v>
      </c>
      <c r="S42" s="68">
        <f>O34-273</f>
        <v>29.058849</v>
      </c>
    </row>
    <row r="43">
      <c r="A43" s="77" t="s">
        <v>249</v>
      </c>
      <c r="B43" s="11"/>
      <c r="C43" s="12"/>
      <c r="E43" s="9" t="s">
        <v>250</v>
      </c>
      <c r="F43" s="2"/>
      <c r="G43" s="3"/>
      <c r="M43" s="13" t="s">
        <v>252</v>
      </c>
      <c r="N43" s="14" t="s">
        <v>24</v>
      </c>
      <c r="O43" s="22">
        <f>O42+$O$27*$O$25</f>
        <v>313.1649935</v>
      </c>
      <c r="P43" s="72" t="s">
        <v>253</v>
      </c>
      <c r="Q43" s="13" t="s">
        <v>210</v>
      </c>
      <c r="R43" s="14" t="s">
        <v>45</v>
      </c>
      <c r="S43" s="68">
        <f>O33-273</f>
        <v>29.05792946</v>
      </c>
    </row>
    <row r="44">
      <c r="A44" s="19" t="s">
        <v>35</v>
      </c>
      <c r="B44" s="16" t="s">
        <v>21</v>
      </c>
      <c r="C44" s="40">
        <v>1.0</v>
      </c>
      <c r="E44" s="19" t="s">
        <v>35</v>
      </c>
      <c r="F44" s="16" t="s">
        <v>22</v>
      </c>
      <c r="G44" s="45">
        <f t="shared" ref="G44:G45" si="18">C31/1000</f>
        <v>0.001</v>
      </c>
      <c r="I44" s="1" t="s">
        <v>251</v>
      </c>
      <c r="J44" s="2"/>
      <c r="K44" s="3"/>
      <c r="M44" s="13" t="s">
        <v>254</v>
      </c>
      <c r="N44" s="14" t="s">
        <v>24</v>
      </c>
      <c r="O44" s="22">
        <f>O43+$O$27*$O$26</f>
        <v>313.165913</v>
      </c>
      <c r="Q44" s="13" t="s">
        <v>206</v>
      </c>
      <c r="R44" s="14" t="s">
        <v>45</v>
      </c>
      <c r="S44" s="68">
        <f>O32-273</f>
        <v>26.70620585</v>
      </c>
    </row>
    <row r="45">
      <c r="A45" s="13" t="s">
        <v>39</v>
      </c>
      <c r="B45" s="14" t="s">
        <v>21</v>
      </c>
      <c r="C45" s="30">
        <v>1.48</v>
      </c>
      <c r="E45" s="13" t="s">
        <v>39</v>
      </c>
      <c r="F45" s="14" t="s">
        <v>22</v>
      </c>
      <c r="G45" s="18">
        <f t="shared" si="18"/>
        <v>0.003</v>
      </c>
      <c r="M45" s="13" t="s">
        <v>255</v>
      </c>
      <c r="N45" s="14" t="s">
        <v>24</v>
      </c>
      <c r="O45" s="22">
        <f>O44+$O$27*$O$25</f>
        <v>315.2989194</v>
      </c>
      <c r="P45" s="72" t="s">
        <v>256</v>
      </c>
      <c r="Q45" s="13" t="s">
        <v>202</v>
      </c>
      <c r="R45" s="14" t="s">
        <v>45</v>
      </c>
      <c r="S45" s="68">
        <f>O31-273</f>
        <v>26.7052863</v>
      </c>
    </row>
    <row r="46">
      <c r="A46" s="13" t="s">
        <v>257</v>
      </c>
      <c r="B46" s="14" t="s">
        <v>21</v>
      </c>
      <c r="C46" s="30">
        <v>0.35</v>
      </c>
      <c r="E46" s="13" t="s">
        <v>239</v>
      </c>
      <c r="F46" s="14" t="s">
        <v>22</v>
      </c>
      <c r="G46" s="18">
        <f>C38/1000</f>
        <v>0.0025</v>
      </c>
      <c r="I46" s="50" t="s">
        <v>5</v>
      </c>
      <c r="J46" s="7" t="s">
        <v>6</v>
      </c>
      <c r="K46" s="51" t="s">
        <v>7</v>
      </c>
      <c r="M46" s="13" t="s">
        <v>259</v>
      </c>
      <c r="N46" s="14" t="s">
        <v>24</v>
      </c>
      <c r="O46" s="22">
        <f>O45+$O$27*$O$26</f>
        <v>315.2998389</v>
      </c>
      <c r="Q46" s="13" t="s">
        <v>198</v>
      </c>
      <c r="R46" s="14" t="s">
        <v>45</v>
      </c>
      <c r="S46" s="68">
        <f>O30-273</f>
        <v>24.3535627</v>
      </c>
    </row>
    <row r="47">
      <c r="A47" s="24" t="s">
        <v>260</v>
      </c>
      <c r="B47" s="25" t="s">
        <v>21</v>
      </c>
      <c r="C47" s="31">
        <v>2.1</v>
      </c>
      <c r="E47" s="13" t="s">
        <v>152</v>
      </c>
      <c r="F47" s="14" t="s">
        <v>52</v>
      </c>
      <c r="G47" s="18">
        <f>C10</f>
        <v>112.1</v>
      </c>
      <c r="I47" s="9" t="s">
        <v>258</v>
      </c>
      <c r="J47" s="2"/>
      <c r="K47" s="3"/>
      <c r="M47" s="13" t="s">
        <v>262</v>
      </c>
      <c r="N47" s="14" t="s">
        <v>24</v>
      </c>
      <c r="O47" s="22">
        <f>O46+$O$27*$O$25</f>
        <v>317.4328453</v>
      </c>
      <c r="P47" s="72" t="s">
        <v>263</v>
      </c>
      <c r="Q47" s="13" t="s">
        <v>192</v>
      </c>
      <c r="R47" s="14" t="s">
        <v>45</v>
      </c>
      <c r="S47" s="68">
        <f>O29-273</f>
        <v>24.35264315</v>
      </c>
    </row>
    <row r="48">
      <c r="A48" s="77" t="s">
        <v>265</v>
      </c>
      <c r="B48" s="11"/>
      <c r="C48" s="12"/>
      <c r="E48" s="32" t="s">
        <v>266</v>
      </c>
      <c r="F48" s="33" t="s">
        <v>110</v>
      </c>
      <c r="G48" s="34">
        <f>LN((G45/G44))/(2*pi()*G46*G47)</f>
        <v>0.6239057138</v>
      </c>
      <c r="I48" s="13" t="s">
        <v>261</v>
      </c>
      <c r="J48" s="14" t="s">
        <v>24</v>
      </c>
      <c r="K48" s="18">
        <f t="shared" ref="K48:K49" si="19">C6+273</f>
        <v>503</v>
      </c>
      <c r="M48" s="13" t="s">
        <v>267</v>
      </c>
      <c r="N48" s="14" t="s">
        <v>24</v>
      </c>
      <c r="O48" s="22">
        <f>O47+$O$27*$O$26</f>
        <v>317.4337648</v>
      </c>
      <c r="Q48" s="13" t="s">
        <v>264</v>
      </c>
      <c r="R48" s="14" t="s">
        <v>45</v>
      </c>
      <c r="S48" s="68">
        <f>O28-273</f>
        <v>22.00091955</v>
      </c>
    </row>
    <row r="49">
      <c r="A49" s="19" t="s">
        <v>35</v>
      </c>
      <c r="B49" s="16" t="s">
        <v>21</v>
      </c>
      <c r="C49" s="40">
        <v>1.0</v>
      </c>
      <c r="E49" s="9" t="s">
        <v>268</v>
      </c>
      <c r="F49" s="2"/>
      <c r="G49" s="3"/>
      <c r="I49" s="13" t="s">
        <v>111</v>
      </c>
      <c r="J49" s="14" t="s">
        <v>24</v>
      </c>
      <c r="K49" s="18">
        <f t="shared" si="19"/>
        <v>295</v>
      </c>
      <c r="M49" s="13" t="s">
        <v>269</v>
      </c>
      <c r="N49" s="14" t="s">
        <v>24</v>
      </c>
      <c r="O49" s="22">
        <f>O48+$O$27*$O$25</f>
        <v>319.5667712</v>
      </c>
      <c r="P49" s="72" t="s">
        <v>270</v>
      </c>
      <c r="Q49" s="24" t="s">
        <v>142</v>
      </c>
      <c r="R49" s="25" t="s">
        <v>45</v>
      </c>
      <c r="S49" s="78">
        <f>C7</f>
        <v>22</v>
      </c>
    </row>
    <row r="50">
      <c r="A50" s="13" t="s">
        <v>39</v>
      </c>
      <c r="B50" s="14" t="s">
        <v>21</v>
      </c>
      <c r="C50" s="30">
        <v>3.5</v>
      </c>
      <c r="E50" s="19" t="s">
        <v>200</v>
      </c>
      <c r="F50" s="16" t="s">
        <v>52</v>
      </c>
      <c r="G50" s="45">
        <f>C9</f>
        <v>155.3</v>
      </c>
      <c r="I50" s="13" t="s">
        <v>120</v>
      </c>
      <c r="J50" s="14" t="s">
        <v>110</v>
      </c>
      <c r="K50" s="18">
        <f>K8</f>
        <v>5126.587034</v>
      </c>
      <c r="M50" s="13" t="s">
        <v>271</v>
      </c>
      <c r="N50" s="14" t="s">
        <v>24</v>
      </c>
      <c r="O50" s="18">
        <f>O49+$O$27*$O$26</f>
        <v>319.5676907</v>
      </c>
    </row>
    <row r="51">
      <c r="A51" s="9" t="s">
        <v>74</v>
      </c>
      <c r="B51" s="2"/>
      <c r="C51" s="3"/>
      <c r="E51" s="13" t="s">
        <v>239</v>
      </c>
      <c r="F51" s="14" t="s">
        <v>22</v>
      </c>
      <c r="G51" s="18">
        <f>C38/1000</f>
        <v>0.0025</v>
      </c>
      <c r="I51" s="46" t="s">
        <v>121</v>
      </c>
      <c r="J51" s="28" t="s">
        <v>113</v>
      </c>
      <c r="K51" s="59">
        <f>(K48-K49)/K50</f>
        <v>0.04057280187</v>
      </c>
      <c r="M51" s="46" t="s">
        <v>273</v>
      </c>
      <c r="N51" s="28" t="s">
        <v>24</v>
      </c>
      <c r="O51" s="47">
        <f>O50+$O$27*$O$25</f>
        <v>321.7006971</v>
      </c>
      <c r="P51" s="72" t="s">
        <v>274</v>
      </c>
    </row>
    <row r="52">
      <c r="A52" s="19" t="s">
        <v>35</v>
      </c>
      <c r="B52" s="16" t="s">
        <v>21</v>
      </c>
      <c r="C52" s="40">
        <f>average(2.1,3.5)</f>
        <v>2.8</v>
      </c>
      <c r="E52" s="13" t="s">
        <v>65</v>
      </c>
      <c r="F52" s="14" t="s">
        <v>22</v>
      </c>
      <c r="G52" s="18">
        <f t="shared" ref="G52:G53" si="20">C35/1000</f>
        <v>0.023</v>
      </c>
      <c r="I52" s="9" t="s">
        <v>272</v>
      </c>
      <c r="J52" s="2"/>
      <c r="K52" s="3"/>
    </row>
    <row r="53">
      <c r="A53" s="13" t="s">
        <v>78</v>
      </c>
      <c r="B53" s="14" t="s">
        <v>21</v>
      </c>
      <c r="C53" s="30">
        <v>4.0</v>
      </c>
      <c r="E53" s="13" t="s">
        <v>68</v>
      </c>
      <c r="F53" s="14" t="s">
        <v>22</v>
      </c>
      <c r="G53" s="18">
        <f t="shared" si="20"/>
        <v>0.016</v>
      </c>
      <c r="I53" s="13" t="s">
        <v>261</v>
      </c>
      <c r="J53" s="14" t="s">
        <v>24</v>
      </c>
      <c r="K53" s="18">
        <f t="shared" ref="K53:K54" si="21">C6+273</f>
        <v>503</v>
      </c>
      <c r="M53" s="9" t="s">
        <v>275</v>
      </c>
      <c r="N53" s="2"/>
      <c r="O53" s="3"/>
    </row>
    <row r="54">
      <c r="A54" s="13" t="s">
        <v>39</v>
      </c>
      <c r="B54" s="14" t="s">
        <v>21</v>
      </c>
      <c r="C54" s="30">
        <v>11.0</v>
      </c>
      <c r="E54" s="13" t="s">
        <v>220</v>
      </c>
      <c r="F54" s="14" t="s">
        <v>28</v>
      </c>
      <c r="G54" s="18">
        <f>G53*G52</f>
        <v>0.000368</v>
      </c>
      <c r="I54" s="13" t="s">
        <v>111</v>
      </c>
      <c r="J54" s="14" t="s">
        <v>24</v>
      </c>
      <c r="K54" s="18">
        <f t="shared" si="21"/>
        <v>295</v>
      </c>
      <c r="M54" s="19" t="s">
        <v>276</v>
      </c>
      <c r="N54" s="16" t="s">
        <v>110</v>
      </c>
      <c r="O54" s="45">
        <f>K12</f>
        <v>11.98875629</v>
      </c>
    </row>
    <row r="55">
      <c r="A55" s="13" t="s">
        <v>85</v>
      </c>
      <c r="B55" s="14" t="s">
        <v>21</v>
      </c>
      <c r="C55" s="30">
        <v>1.5</v>
      </c>
      <c r="E55" s="13" t="s">
        <v>229</v>
      </c>
      <c r="F55" s="14" t="s">
        <v>28</v>
      </c>
      <c r="G55" s="18">
        <f>pi()*G45^2</f>
        <v>0.00002827433388</v>
      </c>
      <c r="I55" s="13" t="s">
        <v>247</v>
      </c>
      <c r="J55" s="14" t="s">
        <v>110</v>
      </c>
      <c r="K55" s="18">
        <f>K42</f>
        <v>82.68146</v>
      </c>
      <c r="M55" s="24" t="s">
        <v>277</v>
      </c>
      <c r="N55" s="25" t="s">
        <v>113</v>
      </c>
      <c r="O55" s="71">
        <f>K56</f>
        <v>2.515678847</v>
      </c>
    </row>
    <row r="56">
      <c r="A56" s="24" t="s">
        <v>90</v>
      </c>
      <c r="B56" s="25" t="s">
        <v>21</v>
      </c>
      <c r="C56" s="31">
        <v>1.0</v>
      </c>
      <c r="E56" s="13" t="s">
        <v>234</v>
      </c>
      <c r="F56" s="14" t="s">
        <v>28</v>
      </c>
      <c r="G56" s="18">
        <f>G54-G55</f>
        <v>0.0003397256661</v>
      </c>
      <c r="I56" s="46" t="s">
        <v>159</v>
      </c>
      <c r="J56" s="28" t="s">
        <v>113</v>
      </c>
      <c r="K56" s="59">
        <f>(K53-K54)/K55</f>
        <v>2.515678847</v>
      </c>
      <c r="M56" s="19" t="s">
        <v>475</v>
      </c>
      <c r="N56" s="16" t="s">
        <v>24</v>
      </c>
      <c r="O56" s="64">
        <f>O51+$O$55*$O$54</f>
        <v>351.8605577</v>
      </c>
    </row>
    <row r="57">
      <c r="E57" s="46" t="s">
        <v>279</v>
      </c>
      <c r="F57" s="28" t="s">
        <v>110</v>
      </c>
      <c r="G57" s="47">
        <f>G51/(G50*G56)</f>
        <v>0.04738492462</v>
      </c>
      <c r="M57" s="13" t="s">
        <v>278</v>
      </c>
      <c r="N57" s="14" t="s">
        <v>24</v>
      </c>
      <c r="O57" s="22">
        <f t="shared" ref="O57:O60" si="22">O56+$O$55*$O$54</f>
        <v>382.0204183</v>
      </c>
    </row>
    <row r="58">
      <c r="A58" s="72" t="s">
        <v>282</v>
      </c>
      <c r="E58" s="69" t="s">
        <v>129</v>
      </c>
      <c r="F58" s="3"/>
      <c r="G58" s="70">
        <f>((1/G48)+(1/G57))^(-1)</f>
        <v>0.04404012737</v>
      </c>
      <c r="I58" s="1" t="s">
        <v>280</v>
      </c>
      <c r="J58" s="2"/>
      <c r="K58" s="3"/>
      <c r="M58" s="13" t="s">
        <v>281</v>
      </c>
      <c r="N58" s="14" t="s">
        <v>24</v>
      </c>
      <c r="O58" s="22">
        <f t="shared" si="22"/>
        <v>412.180279</v>
      </c>
    </row>
    <row r="59">
      <c r="M59" s="13" t="s">
        <v>283</v>
      </c>
      <c r="N59" s="14" t="s">
        <v>24</v>
      </c>
      <c r="O59" s="22">
        <f t="shared" si="22"/>
        <v>442.3401396</v>
      </c>
    </row>
    <row r="60">
      <c r="E60" s="53" t="s">
        <v>133</v>
      </c>
      <c r="F60" s="2"/>
      <c r="G60" s="3"/>
      <c r="I60" s="9" t="s">
        <v>284</v>
      </c>
      <c r="J60" s="2"/>
      <c r="K60" s="3"/>
      <c r="M60" s="24" t="s">
        <v>285</v>
      </c>
      <c r="N60" s="25" t="s">
        <v>24</v>
      </c>
      <c r="O60" s="79">
        <f t="shared" si="22"/>
        <v>472.5000002</v>
      </c>
    </row>
    <row r="61">
      <c r="I61" s="19" t="s">
        <v>147</v>
      </c>
      <c r="J61" s="16" t="s">
        <v>55</v>
      </c>
      <c r="K61" s="45">
        <f>C17</f>
        <v>1240</v>
      </c>
    </row>
    <row r="62">
      <c r="E62" s="9" t="s">
        <v>288</v>
      </c>
      <c r="F62" s="2"/>
      <c r="G62" s="3"/>
      <c r="I62" s="13" t="s">
        <v>286</v>
      </c>
      <c r="J62" s="14" t="s">
        <v>15</v>
      </c>
      <c r="K62" s="80">
        <f>C18/10^9</f>
        <v>0.000000015</v>
      </c>
      <c r="M62" s="9" t="s">
        <v>287</v>
      </c>
      <c r="N62" s="2"/>
      <c r="O62" s="3"/>
    </row>
    <row r="63">
      <c r="E63" s="19" t="s">
        <v>35</v>
      </c>
      <c r="F63" s="16" t="s">
        <v>22</v>
      </c>
      <c r="G63" s="45">
        <f t="shared" ref="G63:G64" si="23">C41/1000</f>
        <v>0.001</v>
      </c>
      <c r="I63" s="46" t="s">
        <v>289</v>
      </c>
      <c r="J63" s="28" t="s">
        <v>290</v>
      </c>
      <c r="K63" s="81">
        <f>K62*K61</f>
        <v>0.0000186</v>
      </c>
      <c r="M63" s="13" t="s">
        <v>291</v>
      </c>
      <c r="N63" s="14" t="s">
        <v>24</v>
      </c>
      <c r="O63" s="18">
        <f>O60</f>
        <v>472.5000002</v>
      </c>
    </row>
    <row r="64">
      <c r="E64" s="13" t="s">
        <v>39</v>
      </c>
      <c r="F64" s="14" t="s">
        <v>22</v>
      </c>
      <c r="G64" s="18">
        <f t="shared" si="23"/>
        <v>0.003</v>
      </c>
      <c r="I64" s="9" t="s">
        <v>127</v>
      </c>
      <c r="J64" s="2"/>
      <c r="K64" s="3"/>
      <c r="M64" s="13" t="s">
        <v>292</v>
      </c>
      <c r="N64" s="14" t="s">
        <v>110</v>
      </c>
      <c r="O64" s="18">
        <f>K12</f>
        <v>11.98875629</v>
      </c>
    </row>
    <row r="65">
      <c r="E65" s="13" t="s">
        <v>242</v>
      </c>
      <c r="F65" s="14" t="s">
        <v>22</v>
      </c>
      <c r="G65" s="18">
        <f>C39/1000</f>
        <v>0.005</v>
      </c>
      <c r="I65" s="13" t="s">
        <v>289</v>
      </c>
      <c r="J65" s="16" t="s">
        <v>290</v>
      </c>
      <c r="K65" s="36">
        <f>K63</f>
        <v>0.0000186</v>
      </c>
      <c r="M65" s="13" t="s">
        <v>159</v>
      </c>
      <c r="N65" s="14" t="s">
        <v>113</v>
      </c>
      <c r="O65" s="18">
        <f>K56</f>
        <v>2.515678847</v>
      </c>
    </row>
    <row r="66">
      <c r="E66" s="13" t="s">
        <v>294</v>
      </c>
      <c r="F66" s="14" t="s">
        <v>52</v>
      </c>
      <c r="G66" s="18">
        <f>C11</f>
        <v>14.58</v>
      </c>
      <c r="I66" s="13" t="s">
        <v>293</v>
      </c>
      <c r="J66" s="14" t="s">
        <v>157</v>
      </c>
      <c r="K66" s="18">
        <f>C19</f>
        <v>1800</v>
      </c>
      <c r="M66" s="46" t="s">
        <v>160</v>
      </c>
      <c r="N66" s="28" t="s">
        <v>24</v>
      </c>
      <c r="O66" s="59">
        <f>O63+O64*O65</f>
        <v>502.6598608</v>
      </c>
    </row>
    <row r="67">
      <c r="E67" s="32" t="s">
        <v>297</v>
      </c>
      <c r="F67" s="28" t="s">
        <v>110</v>
      </c>
      <c r="G67" s="34">
        <f>LN((G64/G63))/(2*pi()*G65*G66)</f>
        <v>2.398485271</v>
      </c>
      <c r="I67" s="13" t="s">
        <v>295</v>
      </c>
      <c r="J67" s="14" t="s">
        <v>24</v>
      </c>
      <c r="K67" s="18">
        <f t="shared" ref="K67:K68" si="24">C20+273</f>
        <v>333</v>
      </c>
      <c r="M67" s="9" t="s">
        <v>296</v>
      </c>
      <c r="N67" s="2"/>
      <c r="O67" s="3"/>
    </row>
    <row r="68">
      <c r="E68" s="9" t="s">
        <v>300</v>
      </c>
      <c r="F68" s="2"/>
      <c r="G68" s="3"/>
      <c r="I68" s="13" t="s">
        <v>298</v>
      </c>
      <c r="J68" s="14" t="s">
        <v>24</v>
      </c>
      <c r="K68" s="18">
        <f t="shared" si="24"/>
        <v>503</v>
      </c>
      <c r="M68" s="13" t="s">
        <v>299</v>
      </c>
      <c r="N68" s="14" t="s">
        <v>24</v>
      </c>
      <c r="O68" s="18">
        <f>O66</f>
        <v>502.6598608</v>
      </c>
    </row>
    <row r="69">
      <c r="E69" s="19" t="s">
        <v>200</v>
      </c>
      <c r="F69" s="16" t="s">
        <v>52</v>
      </c>
      <c r="G69" s="45">
        <f>C9</f>
        <v>155.3</v>
      </c>
      <c r="I69" s="46" t="s">
        <v>301</v>
      </c>
      <c r="J69" s="28" t="s">
        <v>113</v>
      </c>
      <c r="K69" s="82">
        <f>K65*K66*(K68-K67)</f>
        <v>5.6916</v>
      </c>
      <c r="M69" s="13" t="s">
        <v>133</v>
      </c>
      <c r="N69" s="14" t="s">
        <v>110</v>
      </c>
      <c r="O69" s="18">
        <f>K11</f>
        <v>0.09116760082</v>
      </c>
    </row>
    <row r="70">
      <c r="E70" s="13" t="s">
        <v>242</v>
      </c>
      <c r="F70" s="14" t="s">
        <v>22</v>
      </c>
      <c r="G70" s="18">
        <f>C39/1000</f>
        <v>0.005</v>
      </c>
      <c r="M70" s="13" t="s">
        <v>159</v>
      </c>
      <c r="N70" s="14" t="s">
        <v>113</v>
      </c>
      <c r="O70" s="18">
        <f>K56</f>
        <v>2.515678847</v>
      </c>
    </row>
    <row r="71">
      <c r="E71" s="13" t="s">
        <v>65</v>
      </c>
      <c r="F71" s="14" t="s">
        <v>22</v>
      </c>
      <c r="G71" s="18">
        <f t="shared" ref="G71:G72" si="25">C35/1000</f>
        <v>0.023</v>
      </c>
      <c r="I71" s="1" t="s">
        <v>302</v>
      </c>
      <c r="J71" s="2"/>
      <c r="K71" s="3"/>
      <c r="M71" s="46" t="s">
        <v>160</v>
      </c>
      <c r="N71" s="28" t="s">
        <v>24</v>
      </c>
      <c r="O71" s="59">
        <f>O68+O69*O70</f>
        <v>502.8892092</v>
      </c>
    </row>
    <row r="72">
      <c r="E72" s="13" t="s">
        <v>68</v>
      </c>
      <c r="F72" s="14" t="s">
        <v>22</v>
      </c>
      <c r="G72" s="18">
        <f t="shared" si="25"/>
        <v>0.016</v>
      </c>
    </row>
    <row r="73">
      <c r="E73" s="13" t="s">
        <v>220</v>
      </c>
      <c r="F73" s="14" t="s">
        <v>28</v>
      </c>
      <c r="G73" s="18">
        <f>G71*G72</f>
        <v>0.000368</v>
      </c>
      <c r="I73" s="50" t="s">
        <v>5</v>
      </c>
      <c r="J73" s="7" t="s">
        <v>6</v>
      </c>
      <c r="K73" s="51" t="s">
        <v>7</v>
      </c>
    </row>
    <row r="74">
      <c r="E74" s="13" t="s">
        <v>229</v>
      </c>
      <c r="F74" s="14" t="s">
        <v>28</v>
      </c>
      <c r="G74" s="18">
        <f>pi()*G64^2</f>
        <v>0.00002827433388</v>
      </c>
      <c r="I74" s="9" t="s">
        <v>258</v>
      </c>
      <c r="J74" s="2"/>
      <c r="K74" s="3"/>
    </row>
    <row r="75">
      <c r="E75" s="13" t="s">
        <v>234</v>
      </c>
      <c r="F75" s="14" t="s">
        <v>28</v>
      </c>
      <c r="G75" s="18">
        <f>G73-G74</f>
        <v>0.0003397256661</v>
      </c>
      <c r="I75" s="13" t="s">
        <v>121</v>
      </c>
      <c r="J75" s="14" t="s">
        <v>113</v>
      </c>
      <c r="K75" s="18">
        <f>K51</f>
        <v>0.04057280187</v>
      </c>
    </row>
    <row r="76">
      <c r="E76" s="46" t="s">
        <v>303</v>
      </c>
      <c r="F76" s="28" t="s">
        <v>110</v>
      </c>
      <c r="G76" s="47">
        <f>G70/(G69*G75)</f>
        <v>0.09476984924</v>
      </c>
      <c r="I76" s="13" t="s">
        <v>159</v>
      </c>
      <c r="J76" s="14" t="s">
        <v>113</v>
      </c>
      <c r="K76" s="18">
        <f>K56</f>
        <v>2.515678847</v>
      </c>
    </row>
    <row r="77">
      <c r="E77" s="69" t="s">
        <v>133</v>
      </c>
      <c r="F77" s="3"/>
      <c r="G77" s="70">
        <f>((1/G67)+(1/G76))^(-1)</f>
        <v>0.09116760082</v>
      </c>
      <c r="I77" s="13" t="s">
        <v>301</v>
      </c>
      <c r="J77" s="14" t="s">
        <v>113</v>
      </c>
      <c r="K77" s="83">
        <f>K69</f>
        <v>5.6916</v>
      </c>
    </row>
    <row r="78">
      <c r="I78" s="46" t="s">
        <v>112</v>
      </c>
      <c r="J78" s="28" t="s">
        <v>113</v>
      </c>
      <c r="K78" s="59">
        <f>SUM(K75:K77)</f>
        <v>8.247851649</v>
      </c>
    </row>
    <row r="79">
      <c r="E79" s="53" t="s">
        <v>292</v>
      </c>
      <c r="F79" s="2"/>
      <c r="G79" s="3"/>
    </row>
    <row r="81">
      <c r="E81" s="9" t="s">
        <v>304</v>
      </c>
      <c r="F81" s="2"/>
      <c r="G81" s="3"/>
    </row>
    <row r="82">
      <c r="E82" s="19" t="s">
        <v>35</v>
      </c>
      <c r="F82" s="16" t="s">
        <v>22</v>
      </c>
      <c r="G82" s="45">
        <f t="shared" ref="G82:G84" si="26">C44/1000</f>
        <v>0.001</v>
      </c>
    </row>
    <row r="83">
      <c r="E83" s="13" t="s">
        <v>39</v>
      </c>
      <c r="F83" s="14" t="s">
        <v>22</v>
      </c>
      <c r="G83" s="18">
        <f t="shared" si="26"/>
        <v>0.00148</v>
      </c>
    </row>
    <row r="84">
      <c r="E84" s="13" t="s">
        <v>43</v>
      </c>
      <c r="F84" s="14" t="s">
        <v>22</v>
      </c>
      <c r="G84" s="18">
        <f t="shared" si="26"/>
        <v>0.00035</v>
      </c>
    </row>
    <row r="85">
      <c r="E85" s="13" t="s">
        <v>294</v>
      </c>
      <c r="F85" s="14" t="s">
        <v>52</v>
      </c>
      <c r="G85" s="18">
        <f>C11</f>
        <v>14.58</v>
      </c>
    </row>
    <row r="86">
      <c r="E86" s="32" t="s">
        <v>308</v>
      </c>
      <c r="F86" s="33" t="s">
        <v>110</v>
      </c>
      <c r="G86" s="34">
        <f>LN((G83/G82))/(2*pi()*G84*G85)</f>
        <v>12.22720677</v>
      </c>
    </row>
    <row r="87">
      <c r="E87" s="9" t="s">
        <v>309</v>
      </c>
      <c r="F87" s="2"/>
      <c r="G87" s="3"/>
    </row>
    <row r="88">
      <c r="E88" s="19" t="s">
        <v>310</v>
      </c>
      <c r="F88" s="16" t="s">
        <v>19</v>
      </c>
      <c r="G88" s="61">
        <f>C13</f>
        <v>4.504503146</v>
      </c>
    </row>
    <row r="89">
      <c r="E89" s="13" t="s">
        <v>65</v>
      </c>
      <c r="F89" s="14" t="s">
        <v>22</v>
      </c>
      <c r="G89" s="18">
        <f t="shared" ref="G89:G90" si="27">C35/1000</f>
        <v>0.023</v>
      </c>
    </row>
    <row r="90">
      <c r="E90" s="13" t="s">
        <v>68</v>
      </c>
      <c r="F90" s="14" t="s">
        <v>22</v>
      </c>
      <c r="G90" s="18">
        <f t="shared" si="27"/>
        <v>0.016</v>
      </c>
    </row>
    <row r="91">
      <c r="E91" s="13" t="s">
        <v>220</v>
      </c>
      <c r="F91" s="14" t="s">
        <v>28</v>
      </c>
      <c r="G91" s="18">
        <f>G90*G89</f>
        <v>0.000368</v>
      </c>
    </row>
    <row r="92">
      <c r="E92" s="13" t="s">
        <v>229</v>
      </c>
      <c r="F92" s="14" t="s">
        <v>28</v>
      </c>
      <c r="G92" s="18">
        <f>pi()*G83^2</f>
        <v>0.000006881344548</v>
      </c>
    </row>
    <row r="93">
      <c r="E93" s="13" t="s">
        <v>234</v>
      </c>
      <c r="F93" s="14" t="s">
        <v>28</v>
      </c>
      <c r="G93" s="18">
        <f>G91-G92</f>
        <v>0.0003611186555</v>
      </c>
    </row>
    <row r="94">
      <c r="E94" s="46" t="s">
        <v>313</v>
      </c>
      <c r="F94" s="25" t="s">
        <v>110</v>
      </c>
      <c r="G94" s="59">
        <f>1/(G88*G93)</f>
        <v>614.7565727</v>
      </c>
    </row>
    <row r="95">
      <c r="E95" s="69" t="s">
        <v>292</v>
      </c>
      <c r="F95" s="3"/>
      <c r="G95" s="70">
        <f>((1/G86)+(1/G94))^(-1)</f>
        <v>11.98875629</v>
      </c>
    </row>
    <row r="97">
      <c r="E97" s="89" t="s">
        <v>318</v>
      </c>
      <c r="F97" s="2"/>
      <c r="G97" s="3"/>
    </row>
    <row r="99">
      <c r="E99" s="9" t="s">
        <v>319</v>
      </c>
      <c r="F99" s="2"/>
      <c r="G99" s="3"/>
    </row>
    <row r="100">
      <c r="E100" s="19" t="s">
        <v>35</v>
      </c>
      <c r="F100" s="16" t="s">
        <v>22</v>
      </c>
      <c r="G100" s="45">
        <f>C52/1000</f>
        <v>0.0028</v>
      </c>
    </row>
    <row r="101">
      <c r="E101" s="13" t="s">
        <v>39</v>
      </c>
      <c r="F101" s="14" t="s">
        <v>22</v>
      </c>
      <c r="G101" s="18">
        <f t="shared" ref="G101:G102" si="28">C54/1000</f>
        <v>0.011</v>
      </c>
    </row>
    <row r="102">
      <c r="E102" s="13" t="s">
        <v>43</v>
      </c>
      <c r="F102" s="14" t="s">
        <v>22</v>
      </c>
      <c r="G102" s="18">
        <f t="shared" si="28"/>
        <v>0.0015</v>
      </c>
    </row>
    <row r="103">
      <c r="E103" s="13" t="s">
        <v>200</v>
      </c>
      <c r="F103" s="14" t="s">
        <v>52</v>
      </c>
      <c r="G103" s="18">
        <f>C9</f>
        <v>155.3</v>
      </c>
    </row>
    <row r="104">
      <c r="E104" s="32" t="s">
        <v>320</v>
      </c>
      <c r="F104" s="33" t="s">
        <v>110</v>
      </c>
      <c r="G104" s="34">
        <f>LN((G101/G100))/(2*pi()*G102*G103)</f>
        <v>0.9348266406</v>
      </c>
    </row>
    <row r="105">
      <c r="E105" s="9" t="s">
        <v>321</v>
      </c>
      <c r="F105" s="2"/>
      <c r="G105" s="3"/>
    </row>
    <row r="106">
      <c r="E106" s="19" t="s">
        <v>35</v>
      </c>
      <c r="F106" s="16" t="s">
        <v>22</v>
      </c>
      <c r="G106" s="45">
        <f t="shared" ref="G106:G107" si="29">C49/1000</f>
        <v>0.001</v>
      </c>
    </row>
    <row r="107">
      <c r="E107" s="13" t="s">
        <v>39</v>
      </c>
      <c r="F107" s="14" t="s">
        <v>22</v>
      </c>
      <c r="G107" s="18">
        <f t="shared" si="29"/>
        <v>0.0035</v>
      </c>
    </row>
    <row r="108">
      <c r="E108" s="13" t="s">
        <v>43</v>
      </c>
      <c r="F108" s="14" t="s">
        <v>22</v>
      </c>
      <c r="G108" s="18">
        <f>C55/1000</f>
        <v>0.0015</v>
      </c>
    </row>
    <row r="109">
      <c r="E109" s="13" t="s">
        <v>322</v>
      </c>
      <c r="F109" s="14" t="s">
        <v>52</v>
      </c>
      <c r="G109" s="18">
        <f>C11</f>
        <v>14.58</v>
      </c>
    </row>
    <row r="110">
      <c r="E110" s="32" t="s">
        <v>323</v>
      </c>
      <c r="F110" s="33" t="s">
        <v>110</v>
      </c>
      <c r="G110" s="34">
        <f>LN((G107/G106))/(2*pi()*G108*G109)</f>
        <v>9.116754411</v>
      </c>
    </row>
    <row r="111">
      <c r="E111" s="9" t="s">
        <v>324</v>
      </c>
      <c r="F111" s="2"/>
      <c r="G111" s="3"/>
    </row>
    <row r="112">
      <c r="E112" s="19" t="s">
        <v>35</v>
      </c>
      <c r="F112" s="16" t="s">
        <v>22</v>
      </c>
      <c r="G112" s="45">
        <f t="shared" ref="G112:G113" si="30">C52/1000</f>
        <v>0.0028</v>
      </c>
    </row>
    <row r="113">
      <c r="E113" s="13" t="s">
        <v>39</v>
      </c>
      <c r="F113" s="14" t="s">
        <v>22</v>
      </c>
      <c r="G113" s="18">
        <f t="shared" si="30"/>
        <v>0.004</v>
      </c>
    </row>
    <row r="114">
      <c r="E114" s="13" t="s">
        <v>43</v>
      </c>
      <c r="F114" s="14" t="s">
        <v>22</v>
      </c>
      <c r="G114" s="18">
        <f>C56</f>
        <v>1</v>
      </c>
    </row>
    <row r="115">
      <c r="E115" s="13" t="s">
        <v>200</v>
      </c>
      <c r="F115" s="14" t="s">
        <v>52</v>
      </c>
      <c r="G115" s="18">
        <f>C9</f>
        <v>155.3</v>
      </c>
    </row>
    <row r="116">
      <c r="E116" s="46" t="s">
        <v>325</v>
      </c>
      <c r="F116" s="28" t="s">
        <v>110</v>
      </c>
      <c r="G116" s="47">
        <f>LN((G113/G112))/(2*pi()*G114*G115)</f>
        <v>0.000365528528</v>
      </c>
    </row>
    <row r="117">
      <c r="E117" s="9" t="s">
        <v>326</v>
      </c>
      <c r="F117" s="2"/>
      <c r="G117" s="3"/>
    </row>
    <row r="118">
      <c r="E118" s="19" t="s">
        <v>35</v>
      </c>
      <c r="F118" s="16" t="s">
        <v>22</v>
      </c>
      <c r="G118" s="45">
        <f t="shared" ref="G118:G119" si="31">C49/1000</f>
        <v>0.001</v>
      </c>
    </row>
    <row r="119">
      <c r="E119" s="13" t="s">
        <v>39</v>
      </c>
      <c r="F119" s="14" t="s">
        <v>22</v>
      </c>
      <c r="G119" s="18">
        <f t="shared" si="31"/>
        <v>0.0035</v>
      </c>
    </row>
    <row r="120">
      <c r="E120" s="13" t="s">
        <v>43</v>
      </c>
      <c r="F120" s="14" t="s">
        <v>22</v>
      </c>
      <c r="G120" s="18">
        <f>C56/1000</f>
        <v>0.001</v>
      </c>
    </row>
    <row r="121">
      <c r="E121" s="13" t="s">
        <v>322</v>
      </c>
      <c r="F121" s="14" t="s">
        <v>52</v>
      </c>
      <c r="G121" s="18">
        <f>C11</f>
        <v>14.58</v>
      </c>
    </row>
    <row r="122">
      <c r="E122" s="32" t="s">
        <v>327</v>
      </c>
      <c r="F122" s="33" t="s">
        <v>110</v>
      </c>
      <c r="G122" s="34">
        <f>LN((G119/G118))/(2*pi()*G120*G121)</f>
        <v>13.67513162</v>
      </c>
    </row>
    <row r="123">
      <c r="E123" s="9" t="s">
        <v>328</v>
      </c>
      <c r="F123" s="2"/>
      <c r="G123" s="3"/>
    </row>
    <row r="124">
      <c r="E124" s="19" t="s">
        <v>329</v>
      </c>
      <c r="F124" s="16" t="s">
        <v>19</v>
      </c>
      <c r="G124" s="61">
        <f>C15</f>
        <v>54.43080556</v>
      </c>
    </row>
    <row r="125">
      <c r="E125" s="13" t="s">
        <v>78</v>
      </c>
      <c r="F125" s="14" t="s">
        <v>22</v>
      </c>
      <c r="G125" s="18">
        <f t="shared" ref="G125:G126" si="32">C53/1000</f>
        <v>0.004</v>
      </c>
    </row>
    <row r="126">
      <c r="E126" s="13" t="s">
        <v>39</v>
      </c>
      <c r="F126" s="14" t="s">
        <v>22</v>
      </c>
      <c r="G126" s="18">
        <f t="shared" si="32"/>
        <v>0.011</v>
      </c>
    </row>
    <row r="127">
      <c r="E127" s="13" t="s">
        <v>330</v>
      </c>
      <c r="F127" s="14" t="s">
        <v>28</v>
      </c>
      <c r="G127" s="18">
        <f>pi()*(G126^2-G125^2)</f>
        <v>0.0003298672286</v>
      </c>
    </row>
    <row r="128">
      <c r="E128" s="46" t="s">
        <v>331</v>
      </c>
      <c r="F128" s="25" t="s">
        <v>110</v>
      </c>
      <c r="G128" s="59">
        <f>1/(G124*G127)</f>
        <v>55.69498181</v>
      </c>
    </row>
    <row r="129">
      <c r="E129" s="69" t="s">
        <v>332</v>
      </c>
      <c r="F129" s="3"/>
      <c r="G129" s="70">
        <f>((1/G104)+(1/G110))^(-1)</f>
        <v>0.8478850099</v>
      </c>
    </row>
    <row r="130">
      <c r="E130" s="69" t="s">
        <v>333</v>
      </c>
      <c r="F130" s="3"/>
      <c r="G130" s="70">
        <f>((1/G116)+(1/G122)+(1/G128))^(-1)</f>
        <v>0.0003655163591</v>
      </c>
    </row>
    <row r="131">
      <c r="E131" s="69" t="s">
        <v>334</v>
      </c>
      <c r="F131" s="3"/>
      <c r="G131" s="70">
        <f>G104</f>
        <v>0.9348266406</v>
      </c>
    </row>
    <row r="132">
      <c r="E132" s="69" t="s">
        <v>335</v>
      </c>
      <c r="F132" s="3"/>
      <c r="G132" s="70">
        <f>((1/G116)+(1/G128))^(-1)</f>
        <v>0.0003655261291</v>
      </c>
    </row>
  </sheetData>
  <mergeCells count="68">
    <mergeCell ref="A48:C48"/>
    <mergeCell ref="E49:G49"/>
    <mergeCell ref="A51:C51"/>
    <mergeCell ref="I52:K52"/>
    <mergeCell ref="M53:O53"/>
    <mergeCell ref="E58:F58"/>
    <mergeCell ref="I58:K58"/>
    <mergeCell ref="E60:G60"/>
    <mergeCell ref="I60:K60"/>
    <mergeCell ref="E62:G62"/>
    <mergeCell ref="M62:O62"/>
    <mergeCell ref="I64:K64"/>
    <mergeCell ref="M67:O67"/>
    <mergeCell ref="E68:G68"/>
    <mergeCell ref="E130:F130"/>
    <mergeCell ref="E131:F131"/>
    <mergeCell ref="E132:F132"/>
    <mergeCell ref="E97:G97"/>
    <mergeCell ref="E99:G99"/>
    <mergeCell ref="E105:G105"/>
    <mergeCell ref="E111:G111"/>
    <mergeCell ref="E117:G117"/>
    <mergeCell ref="E123:G123"/>
    <mergeCell ref="E129:F129"/>
    <mergeCell ref="M5:O5"/>
    <mergeCell ref="Q5:S5"/>
    <mergeCell ref="A2:C2"/>
    <mergeCell ref="E2:G2"/>
    <mergeCell ref="I2:K2"/>
    <mergeCell ref="M2:O2"/>
    <mergeCell ref="Q2:S2"/>
    <mergeCell ref="I5:K5"/>
    <mergeCell ref="E6:G6"/>
    <mergeCell ref="A5:C5"/>
    <mergeCell ref="A8:C8"/>
    <mergeCell ref="E8:G8"/>
    <mergeCell ref="I9:K9"/>
    <mergeCell ref="M10:O10"/>
    <mergeCell ref="Q10:R10"/>
    <mergeCell ref="Q13:S13"/>
    <mergeCell ref="A12:C12"/>
    <mergeCell ref="E14:G14"/>
    <mergeCell ref="A16:C16"/>
    <mergeCell ref="M16:O16"/>
    <mergeCell ref="E20:F20"/>
    <mergeCell ref="M22:O22"/>
    <mergeCell ref="A23:C23"/>
    <mergeCell ref="E22:G22"/>
    <mergeCell ref="E24:G24"/>
    <mergeCell ref="A26:C26"/>
    <mergeCell ref="A30:C30"/>
    <mergeCell ref="E30:G30"/>
    <mergeCell ref="A33:C33"/>
    <mergeCell ref="A34:C34"/>
    <mergeCell ref="E39:F39"/>
    <mergeCell ref="A40:C40"/>
    <mergeCell ref="E41:G41"/>
    <mergeCell ref="A43:C43"/>
    <mergeCell ref="E43:G43"/>
    <mergeCell ref="I44:K44"/>
    <mergeCell ref="I47:K47"/>
    <mergeCell ref="I71:K71"/>
    <mergeCell ref="I74:K74"/>
    <mergeCell ref="E77:F77"/>
    <mergeCell ref="E79:G79"/>
    <mergeCell ref="E81:G81"/>
    <mergeCell ref="E87:G87"/>
    <mergeCell ref="E95:F9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5" max="5" width="69.5"/>
    <col customWidth="1" min="9" max="9" width="72.63"/>
    <col customWidth="1" min="13" max="13" width="38.88"/>
    <col customWidth="1" min="17" max="17" width="29.0"/>
  </cols>
  <sheetData>
    <row r="2">
      <c r="A2" s="1" t="s">
        <v>0</v>
      </c>
      <c r="B2" s="2"/>
      <c r="C2" s="3"/>
      <c r="E2" s="1" t="s">
        <v>99</v>
      </c>
      <c r="F2" s="2"/>
      <c r="G2" s="3"/>
      <c r="I2" s="1" t="s">
        <v>100</v>
      </c>
      <c r="J2" s="2"/>
      <c r="K2" s="3"/>
      <c r="M2" s="1" t="s">
        <v>101</v>
      </c>
      <c r="N2" s="2"/>
      <c r="O2" s="3"/>
      <c r="Q2" s="1" t="s">
        <v>102</v>
      </c>
      <c r="R2" s="2"/>
      <c r="S2" s="3"/>
    </row>
    <row r="4">
      <c r="A4" s="50" t="s">
        <v>5</v>
      </c>
      <c r="B4" s="7" t="s">
        <v>6</v>
      </c>
      <c r="C4" s="51" t="s">
        <v>7</v>
      </c>
      <c r="E4" s="50" t="s">
        <v>5</v>
      </c>
      <c r="F4" s="7" t="s">
        <v>6</v>
      </c>
      <c r="G4" s="51" t="s">
        <v>7</v>
      </c>
      <c r="I4" s="50" t="s">
        <v>5</v>
      </c>
      <c r="J4" s="7" t="s">
        <v>6</v>
      </c>
      <c r="K4" s="51" t="s">
        <v>7</v>
      </c>
      <c r="M4" s="50" t="s">
        <v>5</v>
      </c>
      <c r="N4" s="7" t="s">
        <v>6</v>
      </c>
      <c r="O4" s="51" t="s">
        <v>7</v>
      </c>
      <c r="Q4" s="50" t="s">
        <v>5</v>
      </c>
      <c r="R4" s="7" t="s">
        <v>6</v>
      </c>
      <c r="S4" s="51" t="s">
        <v>7</v>
      </c>
    </row>
    <row r="5">
      <c r="A5" s="52" t="s">
        <v>103</v>
      </c>
      <c r="C5" s="42"/>
      <c r="I5" s="9" t="s">
        <v>104</v>
      </c>
      <c r="J5" s="2"/>
      <c r="K5" s="3"/>
      <c r="M5" s="9" t="s">
        <v>105</v>
      </c>
      <c r="N5" s="2"/>
      <c r="O5" s="3"/>
      <c r="Q5" s="9" t="s">
        <v>106</v>
      </c>
      <c r="R5" s="2"/>
      <c r="S5" s="3"/>
    </row>
    <row r="6">
      <c r="A6" s="19" t="s">
        <v>107</v>
      </c>
      <c r="B6" s="16" t="s">
        <v>45</v>
      </c>
      <c r="C6" s="40">
        <v>230.0</v>
      </c>
      <c r="E6" s="53" t="s">
        <v>108</v>
      </c>
      <c r="F6" s="2"/>
      <c r="G6" s="3"/>
      <c r="I6" s="13" t="s">
        <v>109</v>
      </c>
      <c r="J6" s="14" t="s">
        <v>110</v>
      </c>
      <c r="K6" s="18">
        <f>G20</f>
        <v>5126.523559</v>
      </c>
      <c r="M6" s="13" t="s">
        <v>111</v>
      </c>
      <c r="N6" s="14" t="s">
        <v>24</v>
      </c>
      <c r="O6" s="18">
        <f>C7+273</f>
        <v>295</v>
      </c>
      <c r="Q6" s="19" t="s">
        <v>112</v>
      </c>
      <c r="R6" s="16" t="s">
        <v>113</v>
      </c>
      <c r="S6" s="54">
        <f>K76</f>
        <v>10.57748151</v>
      </c>
    </row>
    <row r="7">
      <c r="A7" s="24" t="s">
        <v>114</v>
      </c>
      <c r="B7" s="25" t="s">
        <v>45</v>
      </c>
      <c r="C7" s="31">
        <v>22.0</v>
      </c>
      <c r="I7" s="13" t="s">
        <v>115</v>
      </c>
      <c r="J7" s="14" t="s">
        <v>110</v>
      </c>
      <c r="K7" s="18">
        <f>G39</f>
        <v>0.06347457657</v>
      </c>
      <c r="M7" s="13" t="s">
        <v>116</v>
      </c>
      <c r="N7" s="14" t="s">
        <v>110</v>
      </c>
      <c r="O7" s="18">
        <f>G13</f>
        <v>5126.227122</v>
      </c>
      <c r="Q7" s="13" t="s">
        <v>117</v>
      </c>
      <c r="R7" s="14" t="s">
        <v>113</v>
      </c>
      <c r="S7" s="129">
        <f>K49</f>
        <v>0.04057280187</v>
      </c>
    </row>
    <row r="8">
      <c r="A8" s="52" t="s">
        <v>118</v>
      </c>
      <c r="C8" s="42"/>
      <c r="E8" s="10" t="s">
        <v>119</v>
      </c>
      <c r="F8" s="11"/>
      <c r="G8" s="12"/>
      <c r="I8" s="46" t="s">
        <v>120</v>
      </c>
      <c r="J8" s="28" t="s">
        <v>110</v>
      </c>
      <c r="K8" s="59">
        <f>SUM(K6:K7)</f>
        <v>5126.587034</v>
      </c>
      <c r="M8" s="13" t="s">
        <v>121</v>
      </c>
      <c r="N8" s="14" t="s">
        <v>113</v>
      </c>
      <c r="O8" s="18">
        <f>K49</f>
        <v>0.04057280187</v>
      </c>
      <c r="Q8" s="13" t="s">
        <v>122</v>
      </c>
      <c r="R8" s="14" t="s">
        <v>113</v>
      </c>
      <c r="S8" s="129">
        <f>K54</f>
        <v>4.845308706</v>
      </c>
    </row>
    <row r="9">
      <c r="A9" s="19" t="s">
        <v>123</v>
      </c>
      <c r="B9" s="16" t="s">
        <v>52</v>
      </c>
      <c r="C9" s="60">
        <v>155.3</v>
      </c>
      <c r="E9" s="19" t="s">
        <v>124</v>
      </c>
      <c r="F9" s="16" t="s">
        <v>19</v>
      </c>
      <c r="G9" s="61">
        <f>C14</f>
        <v>5.519500293</v>
      </c>
      <c r="I9" s="9" t="s">
        <v>125</v>
      </c>
      <c r="J9" s="2"/>
      <c r="K9" s="3"/>
      <c r="M9" s="46" t="s">
        <v>126</v>
      </c>
      <c r="N9" s="28" t="s">
        <v>24</v>
      </c>
      <c r="O9" s="59">
        <f>O6+O7*O8</f>
        <v>502.9853974</v>
      </c>
      <c r="Q9" s="13" t="s">
        <v>127</v>
      </c>
      <c r="R9" s="25" t="s">
        <v>113</v>
      </c>
      <c r="S9" s="62">
        <f>K67</f>
        <v>5.6916</v>
      </c>
    </row>
    <row r="10">
      <c r="A10" s="13" t="s">
        <v>128</v>
      </c>
      <c r="B10" s="14" t="s">
        <v>52</v>
      </c>
      <c r="C10" s="63">
        <v>112.1</v>
      </c>
      <c r="E10" s="13" t="s">
        <v>35</v>
      </c>
      <c r="F10" s="14" t="s">
        <v>22</v>
      </c>
      <c r="G10" s="18">
        <f t="shared" ref="G10:G11" si="1">C27/1000</f>
        <v>0.001</v>
      </c>
      <c r="I10" s="16" t="s">
        <v>129</v>
      </c>
      <c r="J10" s="16" t="s">
        <v>110</v>
      </c>
      <c r="K10" s="64">
        <f>G58</f>
        <v>0.04404012737</v>
      </c>
      <c r="M10" s="9" t="s">
        <v>130</v>
      </c>
      <c r="N10" s="2"/>
      <c r="O10" s="3"/>
      <c r="Q10" s="41" t="s">
        <v>131</v>
      </c>
      <c r="R10" s="3"/>
      <c r="S10" s="130">
        <f>S6-SUM(S7:S9)</f>
        <v>0</v>
      </c>
    </row>
    <row r="11">
      <c r="A11" s="24" t="s">
        <v>132</v>
      </c>
      <c r="B11" s="24" t="s">
        <v>52</v>
      </c>
      <c r="C11" s="66">
        <v>14.58</v>
      </c>
      <c r="E11" s="13" t="s">
        <v>39</v>
      </c>
      <c r="F11" s="14" t="s">
        <v>22</v>
      </c>
      <c r="G11" s="18">
        <f t="shared" si="1"/>
        <v>0.0035</v>
      </c>
      <c r="I11" s="16" t="s">
        <v>133</v>
      </c>
      <c r="J11" s="16" t="s">
        <v>110</v>
      </c>
      <c r="K11" s="64">
        <f>G77</f>
        <v>0.09116760082</v>
      </c>
      <c r="M11" s="13" t="s">
        <v>126</v>
      </c>
      <c r="N11" s="14" t="s">
        <v>24</v>
      </c>
      <c r="O11" s="18">
        <f>O9</f>
        <v>502.9853974</v>
      </c>
    </row>
    <row r="12">
      <c r="A12" s="10" t="s">
        <v>11</v>
      </c>
      <c r="B12" s="11"/>
      <c r="C12" s="12"/>
      <c r="E12" s="13" t="s">
        <v>134</v>
      </c>
      <c r="F12" s="14" t="s">
        <v>28</v>
      </c>
      <c r="G12" s="18">
        <f>pi()*(G11^2-G10^2)</f>
        <v>0.00003534291735</v>
      </c>
      <c r="I12" s="14" t="s">
        <v>135</v>
      </c>
      <c r="J12" s="14" t="s">
        <v>110</v>
      </c>
      <c r="K12" s="18">
        <f t="shared" ref="K12:K15" si="2">$G$95</f>
        <v>8.044799768</v>
      </c>
      <c r="M12" s="13" t="s">
        <v>136</v>
      </c>
      <c r="N12" s="14" t="s">
        <v>110</v>
      </c>
      <c r="O12" s="18">
        <f>G19</f>
        <v>0.2964368406</v>
      </c>
      <c r="Q12" s="50" t="s">
        <v>5</v>
      </c>
      <c r="R12" s="7" t="s">
        <v>6</v>
      </c>
      <c r="S12" s="51" t="s">
        <v>7</v>
      </c>
    </row>
    <row r="13">
      <c r="A13" s="19" t="s">
        <v>18</v>
      </c>
      <c r="B13" s="16" t="s">
        <v>19</v>
      </c>
      <c r="C13" s="40">
        <f>'Natural and Forced Convection C'!S5</f>
        <v>4.504503146</v>
      </c>
      <c r="E13" s="46" t="s">
        <v>116</v>
      </c>
      <c r="F13" s="28" t="s">
        <v>110</v>
      </c>
      <c r="G13" s="59">
        <f>1/(G9*G12)</f>
        <v>5126.227122</v>
      </c>
      <c r="I13" s="14" t="s">
        <v>137</v>
      </c>
      <c r="J13" s="14" t="s">
        <v>110</v>
      </c>
      <c r="K13" s="18">
        <f t="shared" si="2"/>
        <v>8.044799768</v>
      </c>
      <c r="M13" s="13" t="s">
        <v>121</v>
      </c>
      <c r="N13" s="14" t="s">
        <v>113</v>
      </c>
      <c r="O13" s="18">
        <f>K49</f>
        <v>0.04057280187</v>
      </c>
      <c r="Q13" s="9" t="s">
        <v>138</v>
      </c>
      <c r="R13" s="2"/>
      <c r="S13" s="3"/>
    </row>
    <row r="14">
      <c r="A14" s="13" t="s">
        <v>25</v>
      </c>
      <c r="B14" s="14" t="s">
        <v>19</v>
      </c>
      <c r="C14" s="30">
        <f>'Natural and Forced Convection C'!S6</f>
        <v>5.519500293</v>
      </c>
      <c r="E14" s="9" t="s">
        <v>139</v>
      </c>
      <c r="F14" s="2"/>
      <c r="G14" s="3"/>
      <c r="I14" s="14" t="s">
        <v>140</v>
      </c>
      <c r="J14" s="14" t="s">
        <v>110</v>
      </c>
      <c r="K14" s="18">
        <f t="shared" si="2"/>
        <v>8.044799768</v>
      </c>
      <c r="M14" s="46" t="s">
        <v>141</v>
      </c>
      <c r="N14" s="28" t="s">
        <v>24</v>
      </c>
      <c r="O14" s="59">
        <f>O11+O12*O13</f>
        <v>502.9974247</v>
      </c>
      <c r="Q14" s="19" t="s">
        <v>142</v>
      </c>
      <c r="R14" s="16" t="s">
        <v>45</v>
      </c>
      <c r="S14" s="67">
        <f>C7</f>
        <v>22</v>
      </c>
    </row>
    <row r="15">
      <c r="A15" s="24" t="s">
        <v>30</v>
      </c>
      <c r="B15" s="25" t="s">
        <v>19</v>
      </c>
      <c r="C15" s="31">
        <f>'Natural and Forced Convection C'!S7</f>
        <v>54.43080556</v>
      </c>
      <c r="E15" s="19" t="s">
        <v>35</v>
      </c>
      <c r="F15" s="16" t="s">
        <v>22</v>
      </c>
      <c r="G15" s="45">
        <f t="shared" ref="G15:G17" si="3">C27/1000</f>
        <v>0.001</v>
      </c>
      <c r="I15" s="14" t="s">
        <v>143</v>
      </c>
      <c r="J15" s="14" t="s">
        <v>110</v>
      </c>
      <c r="K15" s="18">
        <f t="shared" si="2"/>
        <v>8.044799768</v>
      </c>
      <c r="Q15" s="13" t="s">
        <v>126</v>
      </c>
      <c r="R15" s="14" t="s">
        <v>45</v>
      </c>
      <c r="S15" s="68">
        <f>O9-273</f>
        <v>229.9853974</v>
      </c>
    </row>
    <row r="16">
      <c r="A16" s="9" t="s">
        <v>144</v>
      </c>
      <c r="B16" s="2"/>
      <c r="C16" s="3"/>
      <c r="E16" s="13" t="s">
        <v>39</v>
      </c>
      <c r="F16" s="14" t="s">
        <v>22</v>
      </c>
      <c r="G16" s="18">
        <f t="shared" si="3"/>
        <v>0.0035</v>
      </c>
      <c r="I16" s="14" t="s">
        <v>148</v>
      </c>
      <c r="J16" s="14" t="s">
        <v>110</v>
      </c>
      <c r="K16" s="22">
        <f t="shared" ref="K16:K17" si="4">G129</f>
        <v>0.8478850099</v>
      </c>
      <c r="M16" s="9" t="s">
        <v>146</v>
      </c>
      <c r="N16" s="2"/>
      <c r="O16" s="3"/>
      <c r="Q16" s="13" t="s">
        <v>141</v>
      </c>
      <c r="R16" s="14" t="s">
        <v>45</v>
      </c>
      <c r="S16" s="68">
        <f>O14-273</f>
        <v>229.9974247</v>
      </c>
    </row>
    <row r="17">
      <c r="A17" s="19" t="s">
        <v>147</v>
      </c>
      <c r="B17" s="16" t="s">
        <v>55</v>
      </c>
      <c r="C17" s="40">
        <v>1240.0</v>
      </c>
      <c r="E17" s="13" t="s">
        <v>43</v>
      </c>
      <c r="F17" s="14" t="s">
        <v>22</v>
      </c>
      <c r="G17" s="18">
        <f t="shared" si="3"/>
        <v>0.006</v>
      </c>
      <c r="I17" s="14" t="s">
        <v>153</v>
      </c>
      <c r="J17" s="14" t="s">
        <v>110</v>
      </c>
      <c r="K17" s="22">
        <f t="shared" si="4"/>
        <v>0.0003655163591</v>
      </c>
      <c r="M17" s="13" t="s">
        <v>111</v>
      </c>
      <c r="N17" s="14" t="s">
        <v>24</v>
      </c>
      <c r="O17" s="18">
        <f>C7+273</f>
        <v>295</v>
      </c>
      <c r="Q17" s="13" t="s">
        <v>149</v>
      </c>
      <c r="R17" s="14" t="s">
        <v>45</v>
      </c>
      <c r="S17" s="68">
        <f>C6</f>
        <v>230</v>
      </c>
    </row>
    <row r="18">
      <c r="A18" s="13" t="s">
        <v>150</v>
      </c>
      <c r="B18" s="14" t="s">
        <v>151</v>
      </c>
      <c r="C18" s="30">
        <v>15.0</v>
      </c>
      <c r="E18" s="13" t="s">
        <v>152</v>
      </c>
      <c r="F18" s="14" t="s">
        <v>52</v>
      </c>
      <c r="G18" s="18">
        <f>C10</f>
        <v>112.1</v>
      </c>
      <c r="I18" s="14" t="s">
        <v>158</v>
      </c>
      <c r="J18" s="14" t="s">
        <v>110</v>
      </c>
      <c r="K18" s="22">
        <f t="shared" ref="K18:K19" si="5">G129</f>
        <v>0.8478850099</v>
      </c>
      <c r="M18" s="13" t="s">
        <v>154</v>
      </c>
      <c r="N18" s="14" t="s">
        <v>110</v>
      </c>
      <c r="O18" s="18">
        <f>K39</f>
        <v>0.0003655261291</v>
      </c>
      <c r="Q18" s="13" t="s">
        <v>155</v>
      </c>
      <c r="R18" s="14" t="s">
        <v>45</v>
      </c>
      <c r="S18" s="68">
        <f>O69-273</f>
        <v>229.786612</v>
      </c>
    </row>
    <row r="19">
      <c r="A19" s="13" t="s">
        <v>156</v>
      </c>
      <c r="B19" s="14" t="s">
        <v>157</v>
      </c>
      <c r="C19" s="30">
        <v>1800.0</v>
      </c>
      <c r="E19" s="46" t="s">
        <v>136</v>
      </c>
      <c r="F19" s="28" t="s">
        <v>110</v>
      </c>
      <c r="G19" s="47">
        <f>LN((G16/G15))/(2*pi()*G17*G18)</f>
        <v>0.2964368406</v>
      </c>
      <c r="I19" s="14" t="s">
        <v>162</v>
      </c>
      <c r="J19" s="14" t="s">
        <v>110</v>
      </c>
      <c r="K19" s="22">
        <f t="shared" si="5"/>
        <v>0.0003655163591</v>
      </c>
      <c r="M19" s="13" t="s">
        <v>159</v>
      </c>
      <c r="N19" s="14" t="s">
        <v>113</v>
      </c>
      <c r="O19" s="18">
        <f>K54</f>
        <v>4.845308706</v>
      </c>
      <c r="Q19" s="13" t="s">
        <v>160</v>
      </c>
      <c r="R19" s="14" t="s">
        <v>45</v>
      </c>
      <c r="S19" s="68">
        <f>O64-273</f>
        <v>229.3448768</v>
      </c>
    </row>
    <row r="20">
      <c r="A20" s="13" t="s">
        <v>161</v>
      </c>
      <c r="B20" s="14" t="s">
        <v>45</v>
      </c>
      <c r="C20" s="30">
        <v>60.0</v>
      </c>
      <c r="E20" s="69" t="s">
        <v>109</v>
      </c>
      <c r="F20" s="3"/>
      <c r="G20" s="70">
        <f>G13+G19</f>
        <v>5126.523559</v>
      </c>
      <c r="I20" s="14" t="s">
        <v>166</v>
      </c>
      <c r="J20" s="14" t="s">
        <v>110</v>
      </c>
      <c r="K20" s="22">
        <f t="shared" ref="K20:K21" si="6">G129</f>
        <v>0.8478850099</v>
      </c>
      <c r="M20" s="46" t="s">
        <v>163</v>
      </c>
      <c r="N20" s="28" t="s">
        <v>24</v>
      </c>
      <c r="O20" s="59">
        <f>O17+O18*O19</f>
        <v>295.0017711</v>
      </c>
      <c r="Q20" s="13" t="s">
        <v>164</v>
      </c>
      <c r="R20" s="22"/>
      <c r="S20" s="18">
        <f>O58-273</f>
        <v>190.3653385</v>
      </c>
    </row>
    <row r="21">
      <c r="A21" s="24" t="s">
        <v>165</v>
      </c>
      <c r="B21" s="25" t="s">
        <v>45</v>
      </c>
      <c r="C21" s="31">
        <v>230.0</v>
      </c>
      <c r="I21" s="14" t="s">
        <v>168</v>
      </c>
      <c r="J21" s="14" t="s">
        <v>110</v>
      </c>
      <c r="K21" s="22">
        <f t="shared" si="6"/>
        <v>0.0003655163591</v>
      </c>
      <c r="Q21" s="13" t="s">
        <v>167</v>
      </c>
      <c r="R21" s="22"/>
      <c r="S21" s="18">
        <f>O57-273</f>
        <v>151.3858001</v>
      </c>
    </row>
    <row r="22">
      <c r="E22" s="53" t="s">
        <v>115</v>
      </c>
      <c r="F22" s="2"/>
      <c r="G22" s="3"/>
      <c r="I22" s="14" t="s">
        <v>172</v>
      </c>
      <c r="J22" s="14" t="s">
        <v>110</v>
      </c>
      <c r="K22" s="22">
        <f t="shared" ref="K22:K23" si="7">G129</f>
        <v>0.8478850099</v>
      </c>
      <c r="M22" s="9" t="s">
        <v>169</v>
      </c>
      <c r="N22" s="2"/>
      <c r="O22" s="3"/>
      <c r="Q22" s="13" t="s">
        <v>170</v>
      </c>
      <c r="R22" s="22"/>
      <c r="S22" s="18">
        <f>O56-273</f>
        <v>112.4062618</v>
      </c>
    </row>
    <row r="23">
      <c r="A23" s="1" t="s">
        <v>171</v>
      </c>
      <c r="B23" s="2"/>
      <c r="C23" s="3"/>
      <c r="I23" s="14" t="s">
        <v>176</v>
      </c>
      <c r="J23" s="14" t="s">
        <v>110</v>
      </c>
      <c r="K23" s="22">
        <f t="shared" si="7"/>
        <v>0.0003655163591</v>
      </c>
      <c r="M23" s="19" t="s">
        <v>173</v>
      </c>
      <c r="N23" s="16" t="s">
        <v>110</v>
      </c>
      <c r="O23" s="45">
        <f t="shared" ref="O23:O24" si="8">K38</f>
        <v>0.9348266406</v>
      </c>
      <c r="Q23" s="13" t="s">
        <v>178</v>
      </c>
      <c r="R23" s="14" t="s">
        <v>45</v>
      </c>
      <c r="S23" s="68">
        <f>O51-273</f>
        <v>73.4267234</v>
      </c>
    </row>
    <row r="24">
      <c r="E24" s="9" t="s">
        <v>175</v>
      </c>
      <c r="F24" s="2"/>
      <c r="G24" s="3"/>
      <c r="I24" s="14" t="s">
        <v>179</v>
      </c>
      <c r="J24" s="14" t="s">
        <v>110</v>
      </c>
      <c r="K24" s="22">
        <f t="shared" ref="K24:K25" si="9">G129</f>
        <v>0.8478850099</v>
      </c>
      <c r="M24" s="13" t="s">
        <v>177</v>
      </c>
      <c r="N24" s="14" t="s">
        <v>110</v>
      </c>
      <c r="O24" s="18">
        <f t="shared" si="8"/>
        <v>0.0003655261291</v>
      </c>
      <c r="Q24" s="13" t="s">
        <v>181</v>
      </c>
      <c r="R24" s="14" t="s">
        <v>45</v>
      </c>
      <c r="S24" s="68">
        <f>O50-273</f>
        <v>69.31845878</v>
      </c>
    </row>
    <row r="25">
      <c r="A25" s="50" t="s">
        <v>5</v>
      </c>
      <c r="B25" s="7" t="s">
        <v>6</v>
      </c>
      <c r="C25" s="51" t="s">
        <v>7</v>
      </c>
      <c r="E25" s="19" t="s">
        <v>35</v>
      </c>
      <c r="F25" s="16" t="s">
        <v>22</v>
      </c>
      <c r="G25" s="45">
        <f t="shared" ref="G25:G26" si="10">C31/1000</f>
        <v>0.001</v>
      </c>
      <c r="I25" s="14" t="s">
        <v>183</v>
      </c>
      <c r="J25" s="14" t="s">
        <v>110</v>
      </c>
      <c r="K25" s="22">
        <f t="shared" si="9"/>
        <v>0.0003655163591</v>
      </c>
      <c r="M25" s="13" t="s">
        <v>180</v>
      </c>
      <c r="N25" s="14" t="s">
        <v>110</v>
      </c>
      <c r="O25" s="18">
        <f>K28</f>
        <v>0.8478850099</v>
      </c>
      <c r="Q25" s="13" t="s">
        <v>184</v>
      </c>
      <c r="R25" s="14" t="s">
        <v>45</v>
      </c>
      <c r="S25" s="68">
        <f>O49-273</f>
        <v>69.31668774</v>
      </c>
    </row>
    <row r="26">
      <c r="A26" s="9" t="s">
        <v>182</v>
      </c>
      <c r="B26" s="2"/>
      <c r="C26" s="3"/>
      <c r="E26" s="13" t="s">
        <v>39</v>
      </c>
      <c r="F26" s="14" t="s">
        <v>22</v>
      </c>
      <c r="G26" s="18">
        <f t="shared" si="10"/>
        <v>0.003</v>
      </c>
      <c r="I26" s="14" t="s">
        <v>186</v>
      </c>
      <c r="J26" s="14" t="s">
        <v>110</v>
      </c>
      <c r="K26" s="22">
        <f t="shared" ref="K26:K27" si="11">G129</f>
        <v>0.8478850099</v>
      </c>
      <c r="M26" s="13" t="s">
        <v>177</v>
      </c>
      <c r="N26" s="14" t="s">
        <v>110</v>
      </c>
      <c r="O26" s="18">
        <f>K27</f>
        <v>0.0003655163591</v>
      </c>
      <c r="Q26" s="13" t="s">
        <v>187</v>
      </c>
      <c r="R26" s="14" t="s">
        <v>45</v>
      </c>
      <c r="S26" s="68">
        <f>O48-273</f>
        <v>65.20842312</v>
      </c>
    </row>
    <row r="27">
      <c r="A27" s="19" t="s">
        <v>35</v>
      </c>
      <c r="B27" s="16" t="s">
        <v>21</v>
      </c>
      <c r="C27" s="40">
        <v>1.0</v>
      </c>
      <c r="E27" s="13" t="s">
        <v>185</v>
      </c>
      <c r="F27" s="14" t="s">
        <v>22</v>
      </c>
      <c r="G27" s="18">
        <f>C37/1000</f>
        <v>0.004</v>
      </c>
      <c r="I27" s="14" t="s">
        <v>188</v>
      </c>
      <c r="J27" s="14" t="s">
        <v>110</v>
      </c>
      <c r="K27" s="22">
        <f t="shared" si="11"/>
        <v>0.0003655163591</v>
      </c>
      <c r="M27" s="24" t="s">
        <v>159</v>
      </c>
      <c r="N27" s="25" t="s">
        <v>113</v>
      </c>
      <c r="O27" s="71">
        <f>K54</f>
        <v>4.845308706</v>
      </c>
      <c r="Q27" s="13" t="s">
        <v>189</v>
      </c>
      <c r="R27" s="14" t="s">
        <v>45</v>
      </c>
      <c r="S27" s="68">
        <f>O47-273</f>
        <v>65.20665208</v>
      </c>
    </row>
    <row r="28">
      <c r="A28" s="13" t="s">
        <v>39</v>
      </c>
      <c r="B28" s="14" t="s">
        <v>21</v>
      </c>
      <c r="C28" s="30">
        <v>3.5</v>
      </c>
      <c r="E28" s="13" t="s">
        <v>152</v>
      </c>
      <c r="F28" s="14" t="s">
        <v>52</v>
      </c>
      <c r="G28" s="18">
        <f>C10</f>
        <v>112.1</v>
      </c>
      <c r="I28" s="14" t="s">
        <v>191</v>
      </c>
      <c r="J28" s="14" t="s">
        <v>110</v>
      </c>
      <c r="K28" s="22">
        <f>G129</f>
        <v>0.8478850099</v>
      </c>
      <c r="M28" s="19" t="s">
        <v>163</v>
      </c>
      <c r="N28" s="16" t="s">
        <v>24</v>
      </c>
      <c r="O28" s="64">
        <f>O20</f>
        <v>295.0017711</v>
      </c>
      <c r="Q28" s="13" t="s">
        <v>194</v>
      </c>
      <c r="R28" s="14" t="s">
        <v>45</v>
      </c>
      <c r="S28" s="68">
        <f>O46-273</f>
        <v>61.09838746</v>
      </c>
    </row>
    <row r="29">
      <c r="A29" s="24" t="s">
        <v>43</v>
      </c>
      <c r="B29" s="25" t="s">
        <v>21</v>
      </c>
      <c r="C29" s="31">
        <v>6.0</v>
      </c>
      <c r="E29" s="32" t="s">
        <v>190</v>
      </c>
      <c r="F29" s="33" t="s">
        <v>110</v>
      </c>
      <c r="G29" s="34">
        <f>LN((G26/G25))/(2*pi()*G27*G28)</f>
        <v>0.3899410711</v>
      </c>
      <c r="I29" s="14" t="s">
        <v>197</v>
      </c>
      <c r="J29" s="14" t="s">
        <v>110</v>
      </c>
      <c r="K29" s="22">
        <f>G132</f>
        <v>0.0003655261291</v>
      </c>
      <c r="M29" s="13" t="s">
        <v>192</v>
      </c>
      <c r="N29" s="14" t="s">
        <v>24</v>
      </c>
      <c r="O29" s="22">
        <f>O28+$O$27*$O$23</f>
        <v>299.5312947</v>
      </c>
      <c r="P29" s="72" t="s">
        <v>193</v>
      </c>
      <c r="Q29" s="13" t="s">
        <v>199</v>
      </c>
      <c r="R29" s="14" t="s">
        <v>45</v>
      </c>
      <c r="S29" s="68">
        <f>O45-273</f>
        <v>61.09661642</v>
      </c>
    </row>
    <row r="30">
      <c r="A30" s="73" t="s">
        <v>195</v>
      </c>
      <c r="B30" s="2"/>
      <c r="C30" s="3"/>
      <c r="E30" s="9" t="s">
        <v>196</v>
      </c>
      <c r="F30" s="2"/>
      <c r="G30" s="3"/>
      <c r="I30" s="14" t="s">
        <v>201</v>
      </c>
      <c r="J30" s="14" t="s">
        <v>110</v>
      </c>
      <c r="K30" s="22">
        <f t="shared" ref="K30:K31" si="12">G131</f>
        <v>0.9348266406</v>
      </c>
      <c r="M30" s="13" t="s">
        <v>198</v>
      </c>
      <c r="N30" s="14" t="s">
        <v>24</v>
      </c>
      <c r="O30" s="22">
        <f>O29+$O$27*$O$24</f>
        <v>299.5330658</v>
      </c>
      <c r="Q30" s="13" t="s">
        <v>204</v>
      </c>
      <c r="R30" s="14" t="s">
        <v>45</v>
      </c>
      <c r="S30" s="68">
        <f>O44-273</f>
        <v>56.9883518</v>
      </c>
    </row>
    <row r="31">
      <c r="A31" s="16" t="s">
        <v>35</v>
      </c>
      <c r="B31" s="16" t="s">
        <v>21</v>
      </c>
      <c r="C31" s="40">
        <v>1.0</v>
      </c>
      <c r="E31" s="13" t="s">
        <v>200</v>
      </c>
      <c r="F31" s="14" t="s">
        <v>52</v>
      </c>
      <c r="G31" s="45">
        <f>C9</f>
        <v>155.3</v>
      </c>
      <c r="I31" s="14" t="s">
        <v>205</v>
      </c>
      <c r="J31" s="14" t="s">
        <v>110</v>
      </c>
      <c r="K31" s="22">
        <f t="shared" si="12"/>
        <v>0.0003655261291</v>
      </c>
      <c r="M31" s="13" t="s">
        <v>202</v>
      </c>
      <c r="N31" s="14" t="s">
        <v>24</v>
      </c>
      <c r="O31" s="22">
        <f>O30+$O$27*$O$23</f>
        <v>304.0625895</v>
      </c>
      <c r="P31" s="72" t="s">
        <v>203</v>
      </c>
      <c r="Q31" s="13" t="s">
        <v>207</v>
      </c>
      <c r="R31" s="14" t="s">
        <v>45</v>
      </c>
      <c r="S31" s="68">
        <f>O43-273</f>
        <v>56.98658076</v>
      </c>
    </row>
    <row r="32">
      <c r="A32" s="14" t="s">
        <v>39</v>
      </c>
      <c r="B32" s="14" t="s">
        <v>21</v>
      </c>
      <c r="C32" s="30">
        <v>3.0</v>
      </c>
      <c r="E32" s="13" t="s">
        <v>185</v>
      </c>
      <c r="F32" s="14" t="s">
        <v>22</v>
      </c>
      <c r="G32" s="18">
        <f>C37/1000</f>
        <v>0.004</v>
      </c>
      <c r="I32" s="14" t="s">
        <v>209</v>
      </c>
      <c r="J32" s="14" t="s">
        <v>110</v>
      </c>
      <c r="K32" s="22">
        <f t="shared" ref="K32:K33" si="13">G131</f>
        <v>0.9348266406</v>
      </c>
      <c r="M32" s="13" t="s">
        <v>206</v>
      </c>
      <c r="N32" s="14" t="s">
        <v>24</v>
      </c>
      <c r="O32" s="22">
        <f>O31+$O$27*$O$24</f>
        <v>304.0643606</v>
      </c>
      <c r="Q32" s="13" t="s">
        <v>212</v>
      </c>
      <c r="R32" s="14" t="s">
        <v>45</v>
      </c>
      <c r="S32" s="68">
        <f>O42-273</f>
        <v>52.87831614</v>
      </c>
    </row>
    <row r="33">
      <c r="A33" s="9" t="s">
        <v>208</v>
      </c>
      <c r="B33" s="2"/>
      <c r="C33" s="3"/>
      <c r="E33" s="13" t="s">
        <v>65</v>
      </c>
      <c r="F33" s="14" t="s">
        <v>22</v>
      </c>
      <c r="G33" s="18">
        <f t="shared" ref="G33:G34" si="14">C35/1000</f>
        <v>0.023</v>
      </c>
      <c r="I33" s="14" t="s">
        <v>214</v>
      </c>
      <c r="J33" s="14" t="s">
        <v>110</v>
      </c>
      <c r="K33" s="22">
        <f t="shared" si="13"/>
        <v>0.0003655261291</v>
      </c>
      <c r="M33" s="13" t="s">
        <v>210</v>
      </c>
      <c r="N33" s="14" t="s">
        <v>24</v>
      </c>
      <c r="O33" s="22">
        <f>O32+$O$27*$O$23</f>
        <v>308.5938842</v>
      </c>
      <c r="P33" s="72" t="s">
        <v>211</v>
      </c>
      <c r="Q33" s="13" t="s">
        <v>216</v>
      </c>
      <c r="R33" s="14" t="s">
        <v>45</v>
      </c>
      <c r="S33" s="68">
        <f>O41-273</f>
        <v>52.8765451</v>
      </c>
    </row>
    <row r="34">
      <c r="A34" s="74" t="s">
        <v>213</v>
      </c>
      <c r="B34" s="11"/>
      <c r="C34" s="12"/>
      <c r="E34" s="13" t="s">
        <v>68</v>
      </c>
      <c r="F34" s="14" t="s">
        <v>22</v>
      </c>
      <c r="G34" s="18">
        <f t="shared" si="14"/>
        <v>0.016</v>
      </c>
      <c r="I34" s="14" t="s">
        <v>221</v>
      </c>
      <c r="J34" s="14" t="s">
        <v>110</v>
      </c>
      <c r="K34" s="22">
        <f t="shared" ref="K34:K35" si="15">G131</f>
        <v>0.9348266406</v>
      </c>
      <c r="M34" s="13" t="s">
        <v>215</v>
      </c>
      <c r="N34" s="14" t="s">
        <v>24</v>
      </c>
      <c r="O34" s="22">
        <f>O33+$O$27*$O$24</f>
        <v>308.5956553</v>
      </c>
      <c r="Q34" s="13" t="s">
        <v>224</v>
      </c>
      <c r="R34" s="14" t="s">
        <v>45</v>
      </c>
      <c r="S34" s="68">
        <f>O40-273</f>
        <v>48.76828048</v>
      </c>
    </row>
    <row r="35">
      <c r="A35" s="19" t="s">
        <v>65</v>
      </c>
      <c r="B35" s="16" t="s">
        <v>21</v>
      </c>
      <c r="C35" s="40">
        <v>23.0</v>
      </c>
      <c r="E35" s="13" t="s">
        <v>220</v>
      </c>
      <c r="F35" s="14" t="s">
        <v>28</v>
      </c>
      <c r="G35" s="18">
        <f>G34*G33</f>
        <v>0.000368</v>
      </c>
      <c r="I35" s="14" t="s">
        <v>230</v>
      </c>
      <c r="J35" s="14" t="s">
        <v>110</v>
      </c>
      <c r="K35" s="22">
        <f t="shared" si="15"/>
        <v>0.0003655261291</v>
      </c>
      <c r="M35" s="13" t="s">
        <v>222</v>
      </c>
      <c r="N35" s="14" t="s">
        <v>24</v>
      </c>
      <c r="O35" s="22">
        <f>O34+$O$27*$O$23</f>
        <v>313.125179</v>
      </c>
      <c r="P35" s="72" t="s">
        <v>223</v>
      </c>
      <c r="Q35" s="13" t="s">
        <v>232</v>
      </c>
      <c r="R35" s="14" t="s">
        <v>45</v>
      </c>
      <c r="S35" s="68">
        <f>O39-273</f>
        <v>48.76650944</v>
      </c>
    </row>
    <row r="36">
      <c r="A36" s="13" t="s">
        <v>68</v>
      </c>
      <c r="B36" s="14" t="s">
        <v>21</v>
      </c>
      <c r="C36" s="30">
        <v>16.0</v>
      </c>
      <c r="E36" s="13" t="s">
        <v>229</v>
      </c>
      <c r="F36" s="14" t="s">
        <v>28</v>
      </c>
      <c r="G36" s="18">
        <f>pi()*(G26)^2</f>
        <v>0.00002827433388</v>
      </c>
      <c r="I36" s="14" t="s">
        <v>235</v>
      </c>
      <c r="J36" s="14" t="s">
        <v>110</v>
      </c>
      <c r="K36" s="22">
        <f t="shared" ref="K36:K37" si="16">G131</f>
        <v>0.9348266406</v>
      </c>
      <c r="M36" s="13" t="s">
        <v>231</v>
      </c>
      <c r="N36" s="14" t="s">
        <v>24</v>
      </c>
      <c r="O36" s="22">
        <f>O35+$O$27*$O$24</f>
        <v>313.1269501</v>
      </c>
      <c r="Q36" s="13" t="s">
        <v>238</v>
      </c>
      <c r="R36" s="14" t="s">
        <v>45</v>
      </c>
      <c r="S36" s="68">
        <f>O38-273</f>
        <v>44.65824482</v>
      </c>
    </row>
    <row r="37">
      <c r="A37" s="14" t="s">
        <v>233</v>
      </c>
      <c r="B37" s="14" t="s">
        <v>21</v>
      </c>
      <c r="C37" s="30">
        <v>4.0</v>
      </c>
      <c r="E37" s="13" t="s">
        <v>234</v>
      </c>
      <c r="F37" s="14" t="s">
        <v>28</v>
      </c>
      <c r="G37" s="18">
        <f>G35-G36</f>
        <v>0.0003397256661</v>
      </c>
      <c r="I37" s="14" t="s">
        <v>241</v>
      </c>
      <c r="J37" s="14" t="s">
        <v>110</v>
      </c>
      <c r="K37" s="22">
        <f t="shared" si="16"/>
        <v>0.0003655261291</v>
      </c>
      <c r="M37" s="13" t="s">
        <v>236</v>
      </c>
      <c r="N37" s="14" t="s">
        <v>24</v>
      </c>
      <c r="O37" s="22">
        <f>O36+$O$27*$O$23</f>
        <v>317.6564737</v>
      </c>
      <c r="P37" s="72" t="s">
        <v>237</v>
      </c>
      <c r="Q37" s="13" t="s">
        <v>236</v>
      </c>
      <c r="R37" s="14" t="s">
        <v>45</v>
      </c>
      <c r="S37" s="68">
        <f>O37-273</f>
        <v>44.65647374</v>
      </c>
    </row>
    <row r="38">
      <c r="A38" s="14" t="s">
        <v>239</v>
      </c>
      <c r="B38" s="14" t="s">
        <v>21</v>
      </c>
      <c r="C38" s="30">
        <v>2.5</v>
      </c>
      <c r="E38" s="46" t="s">
        <v>240</v>
      </c>
      <c r="F38" s="28" t="s">
        <v>110</v>
      </c>
      <c r="G38" s="47">
        <f>G32/(G31*G37)</f>
        <v>0.07581587939</v>
      </c>
      <c r="I38" s="14" t="s">
        <v>243</v>
      </c>
      <c r="J38" s="14" t="s">
        <v>110</v>
      </c>
      <c r="K38" s="22">
        <f t="shared" ref="K38:K39" si="17">G131</f>
        <v>0.9348266406</v>
      </c>
      <c r="M38" s="13" t="s">
        <v>238</v>
      </c>
      <c r="N38" s="14" t="s">
        <v>24</v>
      </c>
      <c r="O38" s="22">
        <f>O37+$O$27*$O$24</f>
        <v>317.6582448</v>
      </c>
      <c r="Q38" s="13" t="s">
        <v>231</v>
      </c>
      <c r="R38" s="14" t="s">
        <v>45</v>
      </c>
      <c r="S38" s="68">
        <f>O36-273</f>
        <v>40.12695008</v>
      </c>
    </row>
    <row r="39">
      <c r="A39" s="25" t="s">
        <v>242</v>
      </c>
      <c r="B39" s="76" t="s">
        <v>21</v>
      </c>
      <c r="C39" s="31">
        <v>5.0</v>
      </c>
      <c r="E39" s="69" t="s">
        <v>115</v>
      </c>
      <c r="F39" s="3"/>
      <c r="G39" s="70">
        <f>((1/G29)+(1/G38))^(-1)</f>
        <v>0.06347457657</v>
      </c>
      <c r="I39" s="14" t="s">
        <v>246</v>
      </c>
      <c r="J39" s="14" t="s">
        <v>110</v>
      </c>
      <c r="K39" s="22">
        <f t="shared" si="17"/>
        <v>0.0003655261291</v>
      </c>
      <c r="M39" s="13" t="s">
        <v>232</v>
      </c>
      <c r="N39" s="14" t="s">
        <v>24</v>
      </c>
      <c r="O39" s="22">
        <f>O38+$O$27*$O$25</f>
        <v>321.7665094</v>
      </c>
      <c r="P39" s="72" t="s">
        <v>244</v>
      </c>
      <c r="Q39" s="13" t="s">
        <v>222</v>
      </c>
      <c r="R39" s="14" t="s">
        <v>45</v>
      </c>
      <c r="S39" s="68">
        <f>O35-273</f>
        <v>40.12517899</v>
      </c>
    </row>
    <row r="40">
      <c r="A40" s="73" t="s">
        <v>245</v>
      </c>
      <c r="B40" s="2"/>
      <c r="C40" s="3"/>
      <c r="I40" s="28" t="s">
        <v>247</v>
      </c>
      <c r="J40" s="28" t="s">
        <v>110</v>
      </c>
      <c r="K40" s="28">
        <f>SUM(K10:K39)</f>
        <v>42.92812133</v>
      </c>
      <c r="M40" s="13" t="s">
        <v>224</v>
      </c>
      <c r="N40" s="14" t="s">
        <v>24</v>
      </c>
      <c r="O40" s="22">
        <f>O39+$O$27*$O$26</f>
        <v>321.7682805</v>
      </c>
      <c r="Q40" s="13" t="s">
        <v>215</v>
      </c>
      <c r="R40" s="14" t="s">
        <v>45</v>
      </c>
      <c r="S40" s="68">
        <f>O34-273</f>
        <v>35.59565533</v>
      </c>
    </row>
    <row r="41">
      <c r="A41" s="16" t="s">
        <v>35</v>
      </c>
      <c r="B41" s="16" t="s">
        <v>21</v>
      </c>
      <c r="C41" s="40">
        <v>1.0</v>
      </c>
      <c r="E41" s="53" t="s">
        <v>129</v>
      </c>
      <c r="F41" s="2"/>
      <c r="G41" s="3"/>
      <c r="M41" s="13" t="s">
        <v>216</v>
      </c>
      <c r="N41" s="14" t="s">
        <v>24</v>
      </c>
      <c r="O41" s="22">
        <f>O40+$O$27*$O$25</f>
        <v>325.8765451</v>
      </c>
      <c r="P41" s="72" t="s">
        <v>248</v>
      </c>
      <c r="Q41" s="13" t="s">
        <v>210</v>
      </c>
      <c r="R41" s="14" t="s">
        <v>45</v>
      </c>
      <c r="S41" s="68">
        <f>O33-273</f>
        <v>35.59388424</v>
      </c>
    </row>
    <row r="42">
      <c r="A42" s="14" t="s">
        <v>39</v>
      </c>
      <c r="B42" s="14" t="s">
        <v>21</v>
      </c>
      <c r="C42" s="30">
        <v>3.0</v>
      </c>
      <c r="I42" s="1" t="s">
        <v>251</v>
      </c>
      <c r="J42" s="2"/>
      <c r="K42" s="3"/>
      <c r="M42" s="13" t="s">
        <v>212</v>
      </c>
      <c r="N42" s="14" t="s">
        <v>24</v>
      </c>
      <c r="O42" s="22">
        <f>O41+$O$27*$O$26</f>
        <v>325.8783161</v>
      </c>
      <c r="Q42" s="13" t="s">
        <v>206</v>
      </c>
      <c r="R42" s="14" t="s">
        <v>45</v>
      </c>
      <c r="S42" s="68">
        <f>O32-273</f>
        <v>31.06436058</v>
      </c>
    </row>
    <row r="43">
      <c r="A43" s="77" t="s">
        <v>249</v>
      </c>
      <c r="B43" s="11"/>
      <c r="C43" s="12"/>
      <c r="E43" s="9" t="s">
        <v>250</v>
      </c>
      <c r="F43" s="2"/>
      <c r="G43" s="3"/>
      <c r="M43" s="13" t="s">
        <v>252</v>
      </c>
      <c r="N43" s="14" t="s">
        <v>24</v>
      </c>
      <c r="O43" s="22">
        <f>O42+$O$27*$O$25</f>
        <v>329.9865808</v>
      </c>
      <c r="P43" s="72" t="s">
        <v>253</v>
      </c>
      <c r="Q43" s="13" t="s">
        <v>202</v>
      </c>
      <c r="R43" s="14" t="s">
        <v>45</v>
      </c>
      <c r="S43" s="68">
        <f>O31-273</f>
        <v>31.06258949</v>
      </c>
    </row>
    <row r="44">
      <c r="A44" s="19" t="s">
        <v>35</v>
      </c>
      <c r="B44" s="16" t="s">
        <v>21</v>
      </c>
      <c r="C44" s="40">
        <v>1.0</v>
      </c>
      <c r="E44" s="19" t="s">
        <v>35</v>
      </c>
      <c r="F44" s="16" t="s">
        <v>22</v>
      </c>
      <c r="G44" s="45">
        <f t="shared" ref="G44:G45" si="18">C31/1000</f>
        <v>0.001</v>
      </c>
      <c r="I44" s="50" t="s">
        <v>5</v>
      </c>
      <c r="J44" s="7" t="s">
        <v>6</v>
      </c>
      <c r="K44" s="51" t="s">
        <v>7</v>
      </c>
      <c r="M44" s="13" t="s">
        <v>254</v>
      </c>
      <c r="N44" s="14" t="s">
        <v>24</v>
      </c>
      <c r="O44" s="22">
        <f>O43+$O$27*$O$26</f>
        <v>329.9883518</v>
      </c>
      <c r="Q44" s="13" t="s">
        <v>198</v>
      </c>
      <c r="R44" s="14" t="s">
        <v>45</v>
      </c>
      <c r="S44" s="68">
        <f>O30-273</f>
        <v>26.53306583</v>
      </c>
    </row>
    <row r="45">
      <c r="A45" s="13" t="s">
        <v>39</v>
      </c>
      <c r="B45" s="14" t="s">
        <v>21</v>
      </c>
      <c r="C45" s="30">
        <v>1.48</v>
      </c>
      <c r="E45" s="13" t="s">
        <v>39</v>
      </c>
      <c r="F45" s="14" t="s">
        <v>22</v>
      </c>
      <c r="G45" s="18">
        <f t="shared" si="18"/>
        <v>0.003</v>
      </c>
      <c r="I45" s="9" t="s">
        <v>258</v>
      </c>
      <c r="J45" s="2"/>
      <c r="K45" s="3"/>
      <c r="M45" s="13" t="s">
        <v>255</v>
      </c>
      <c r="N45" s="14" t="s">
        <v>24</v>
      </c>
      <c r="O45" s="22">
        <f>O44+$O$27*$O$25</f>
        <v>334.0966164</v>
      </c>
      <c r="P45" s="72" t="s">
        <v>256</v>
      </c>
      <c r="Q45" s="13" t="s">
        <v>192</v>
      </c>
      <c r="R45" s="14" t="s">
        <v>45</v>
      </c>
      <c r="S45" s="68">
        <f>O29-273</f>
        <v>26.53129475</v>
      </c>
    </row>
    <row r="46">
      <c r="A46" s="13" t="s">
        <v>257</v>
      </c>
      <c r="B46" s="14" t="s">
        <v>21</v>
      </c>
      <c r="C46" s="30">
        <v>0.525</v>
      </c>
      <c r="E46" s="13" t="s">
        <v>239</v>
      </c>
      <c r="F46" s="14" t="s">
        <v>22</v>
      </c>
      <c r="G46" s="18">
        <f>C38/1000</f>
        <v>0.0025</v>
      </c>
      <c r="I46" s="13" t="s">
        <v>261</v>
      </c>
      <c r="J46" s="14" t="s">
        <v>24</v>
      </c>
      <c r="K46" s="18">
        <f t="shared" ref="K46:K47" si="19">C6+273</f>
        <v>503</v>
      </c>
      <c r="M46" s="13" t="s">
        <v>259</v>
      </c>
      <c r="N46" s="14" t="s">
        <v>24</v>
      </c>
      <c r="O46" s="22">
        <f>O45+$O$27*$O$26</f>
        <v>334.0983875</v>
      </c>
      <c r="Q46" s="13" t="s">
        <v>264</v>
      </c>
      <c r="R46" s="14" t="s">
        <v>45</v>
      </c>
      <c r="S46" s="68">
        <f>O28-273</f>
        <v>22.00177109</v>
      </c>
    </row>
    <row r="47">
      <c r="A47" s="24" t="s">
        <v>260</v>
      </c>
      <c r="B47" s="25" t="s">
        <v>21</v>
      </c>
      <c r="C47" s="31">
        <v>2.1</v>
      </c>
      <c r="E47" s="13" t="s">
        <v>152</v>
      </c>
      <c r="F47" s="14" t="s">
        <v>52</v>
      </c>
      <c r="G47" s="18">
        <f>C10</f>
        <v>112.1</v>
      </c>
      <c r="I47" s="13" t="s">
        <v>111</v>
      </c>
      <c r="J47" s="14" t="s">
        <v>24</v>
      </c>
      <c r="K47" s="18">
        <f t="shared" si="19"/>
        <v>295</v>
      </c>
      <c r="M47" s="13" t="s">
        <v>262</v>
      </c>
      <c r="N47" s="14" t="s">
        <v>24</v>
      </c>
      <c r="O47" s="22">
        <f>O46+$O$27*$O$25</f>
        <v>338.2066521</v>
      </c>
      <c r="P47" s="72" t="s">
        <v>263</v>
      </c>
      <c r="Q47" s="24" t="s">
        <v>142</v>
      </c>
      <c r="R47" s="25" t="s">
        <v>45</v>
      </c>
      <c r="S47" s="78">
        <f>C7</f>
        <v>22</v>
      </c>
    </row>
    <row r="48">
      <c r="A48" s="77" t="s">
        <v>265</v>
      </c>
      <c r="B48" s="11"/>
      <c r="C48" s="12"/>
      <c r="E48" s="32" t="s">
        <v>266</v>
      </c>
      <c r="F48" s="33" t="s">
        <v>110</v>
      </c>
      <c r="G48" s="34">
        <f>LN((G45/G44))/(2*pi()*G46*G47)</f>
        <v>0.6239057138</v>
      </c>
      <c r="I48" s="13" t="s">
        <v>120</v>
      </c>
      <c r="J48" s="14" t="s">
        <v>110</v>
      </c>
      <c r="K48" s="18">
        <f>K8</f>
        <v>5126.587034</v>
      </c>
      <c r="M48" s="13" t="s">
        <v>267</v>
      </c>
      <c r="N48" s="14" t="s">
        <v>24</v>
      </c>
      <c r="O48" s="22">
        <f>O47+$O$27*$O$26</f>
        <v>338.2084231</v>
      </c>
    </row>
    <row r="49">
      <c r="A49" s="19" t="s">
        <v>35</v>
      </c>
      <c r="B49" s="16" t="s">
        <v>21</v>
      </c>
      <c r="C49" s="40">
        <v>1.0</v>
      </c>
      <c r="E49" s="9" t="s">
        <v>268</v>
      </c>
      <c r="F49" s="2"/>
      <c r="G49" s="3"/>
      <c r="I49" s="46" t="s">
        <v>121</v>
      </c>
      <c r="J49" s="28" t="s">
        <v>113</v>
      </c>
      <c r="K49" s="59">
        <f>(K46-K47)/K48</f>
        <v>0.04057280187</v>
      </c>
      <c r="M49" s="13" t="s">
        <v>269</v>
      </c>
      <c r="N49" s="14" t="s">
        <v>24</v>
      </c>
      <c r="O49" s="22">
        <f>O48+$O$27*$O$25</f>
        <v>342.3166877</v>
      </c>
      <c r="P49" s="72" t="s">
        <v>270</v>
      </c>
    </row>
    <row r="50">
      <c r="A50" s="13" t="s">
        <v>39</v>
      </c>
      <c r="B50" s="14" t="s">
        <v>21</v>
      </c>
      <c r="C50" s="30">
        <v>3.5</v>
      </c>
      <c r="E50" s="19" t="s">
        <v>200</v>
      </c>
      <c r="F50" s="16" t="s">
        <v>52</v>
      </c>
      <c r="G50" s="45">
        <f>C9</f>
        <v>155.3</v>
      </c>
      <c r="I50" s="9" t="s">
        <v>272</v>
      </c>
      <c r="J50" s="2"/>
      <c r="K50" s="3"/>
      <c r="M50" s="13" t="s">
        <v>271</v>
      </c>
      <c r="N50" s="14" t="s">
        <v>24</v>
      </c>
      <c r="O50" s="18">
        <f>O49+$O$27*$O$26</f>
        <v>342.3184588</v>
      </c>
    </row>
    <row r="51">
      <c r="A51" s="9" t="s">
        <v>74</v>
      </c>
      <c r="B51" s="2"/>
      <c r="C51" s="3"/>
      <c r="E51" s="13" t="s">
        <v>239</v>
      </c>
      <c r="F51" s="14" t="s">
        <v>22</v>
      </c>
      <c r="G51" s="18">
        <f>C38/1000</f>
        <v>0.0025</v>
      </c>
      <c r="I51" s="13" t="s">
        <v>261</v>
      </c>
      <c r="J51" s="14" t="s">
        <v>24</v>
      </c>
      <c r="K51" s="18">
        <f t="shared" ref="K51:K52" si="20">C6+273</f>
        <v>503</v>
      </c>
      <c r="M51" s="46" t="s">
        <v>273</v>
      </c>
      <c r="N51" s="28" t="s">
        <v>24</v>
      </c>
      <c r="O51" s="47">
        <f>O50+$O$27*$O$25</f>
        <v>346.4267234</v>
      </c>
      <c r="P51" s="72" t="s">
        <v>274</v>
      </c>
    </row>
    <row r="52">
      <c r="A52" s="19" t="s">
        <v>35</v>
      </c>
      <c r="B52" s="16" t="s">
        <v>21</v>
      </c>
      <c r="C52" s="40">
        <f>average(2.1,3.5)</f>
        <v>2.8</v>
      </c>
      <c r="E52" s="13" t="s">
        <v>65</v>
      </c>
      <c r="F52" s="14" t="s">
        <v>22</v>
      </c>
      <c r="G52" s="18">
        <f t="shared" ref="G52:G53" si="21">C35/1000</f>
        <v>0.023</v>
      </c>
      <c r="I52" s="13" t="s">
        <v>111</v>
      </c>
      <c r="J52" s="14" t="s">
        <v>24</v>
      </c>
      <c r="K52" s="18">
        <f t="shared" si="20"/>
        <v>295</v>
      </c>
    </row>
    <row r="53">
      <c r="A53" s="13" t="s">
        <v>78</v>
      </c>
      <c r="B53" s="14" t="s">
        <v>21</v>
      </c>
      <c r="C53" s="30">
        <v>4.0</v>
      </c>
      <c r="E53" s="13" t="s">
        <v>68</v>
      </c>
      <c r="F53" s="14" t="s">
        <v>22</v>
      </c>
      <c r="G53" s="18">
        <f t="shared" si="21"/>
        <v>0.016</v>
      </c>
      <c r="I53" s="13" t="s">
        <v>247</v>
      </c>
      <c r="J53" s="14" t="s">
        <v>110</v>
      </c>
      <c r="K53" s="18">
        <f>K40</f>
        <v>42.92812133</v>
      </c>
      <c r="M53" s="9" t="s">
        <v>275</v>
      </c>
      <c r="N53" s="2"/>
      <c r="O53" s="3"/>
    </row>
    <row r="54">
      <c r="A54" s="13" t="s">
        <v>39</v>
      </c>
      <c r="B54" s="14" t="s">
        <v>21</v>
      </c>
      <c r="C54" s="30">
        <v>11.0</v>
      </c>
      <c r="E54" s="13" t="s">
        <v>220</v>
      </c>
      <c r="F54" s="14" t="s">
        <v>28</v>
      </c>
      <c r="G54" s="18">
        <f>G53*G52</f>
        <v>0.000368</v>
      </c>
      <c r="I54" s="46" t="s">
        <v>159</v>
      </c>
      <c r="J54" s="28" t="s">
        <v>113</v>
      </c>
      <c r="K54" s="59">
        <f>(K51-K52)/K53</f>
        <v>4.845308706</v>
      </c>
      <c r="M54" s="19" t="s">
        <v>276</v>
      </c>
      <c r="N54" s="16" t="s">
        <v>110</v>
      </c>
      <c r="O54" s="45">
        <f>K12</f>
        <v>8.044799768</v>
      </c>
    </row>
    <row r="55">
      <c r="A55" s="13" t="s">
        <v>85</v>
      </c>
      <c r="B55" s="14" t="s">
        <v>21</v>
      </c>
      <c r="C55" s="30">
        <v>1.5</v>
      </c>
      <c r="E55" s="13" t="s">
        <v>229</v>
      </c>
      <c r="F55" s="14" t="s">
        <v>28</v>
      </c>
      <c r="G55" s="18">
        <f>pi()*G45^2</f>
        <v>0.00002827433388</v>
      </c>
      <c r="M55" s="13" t="s">
        <v>277</v>
      </c>
      <c r="N55" s="14" t="s">
        <v>113</v>
      </c>
      <c r="O55" s="18">
        <f>K54</f>
        <v>4.845308706</v>
      </c>
    </row>
    <row r="56">
      <c r="A56" s="24" t="s">
        <v>90</v>
      </c>
      <c r="B56" s="25" t="s">
        <v>21</v>
      </c>
      <c r="C56" s="31">
        <v>1.0</v>
      </c>
      <c r="E56" s="13" t="s">
        <v>234</v>
      </c>
      <c r="F56" s="14" t="s">
        <v>28</v>
      </c>
      <c r="G56" s="18">
        <f>G54-G55</f>
        <v>0.0003397256661</v>
      </c>
      <c r="I56" s="1" t="s">
        <v>280</v>
      </c>
      <c r="J56" s="2"/>
      <c r="K56" s="3"/>
      <c r="M56" s="19" t="s">
        <v>281</v>
      </c>
      <c r="N56" s="16" t="s">
        <v>24</v>
      </c>
      <c r="O56" s="45">
        <f>O51+$O$55*$O$54</f>
        <v>385.4062618</v>
      </c>
    </row>
    <row r="57">
      <c r="E57" s="46" t="s">
        <v>279</v>
      </c>
      <c r="F57" s="28" t="s">
        <v>110</v>
      </c>
      <c r="G57" s="47">
        <f>G51/(G50*G56)</f>
        <v>0.04738492462</v>
      </c>
      <c r="M57" s="13" t="s">
        <v>283</v>
      </c>
      <c r="N57" s="14" t="s">
        <v>24</v>
      </c>
      <c r="O57" s="18">
        <f t="shared" ref="O57:O58" si="22">O56+$O$55*$O$54</f>
        <v>424.3858001</v>
      </c>
    </row>
    <row r="58">
      <c r="A58" s="72" t="s">
        <v>282</v>
      </c>
      <c r="E58" s="69" t="s">
        <v>129</v>
      </c>
      <c r="F58" s="3"/>
      <c r="G58" s="70">
        <f>((1/G48)+(1/G57))^(-1)</f>
        <v>0.04404012737</v>
      </c>
      <c r="I58" s="9" t="s">
        <v>284</v>
      </c>
      <c r="J58" s="2"/>
      <c r="K58" s="3"/>
      <c r="M58" s="24" t="s">
        <v>285</v>
      </c>
      <c r="N58" s="25" t="s">
        <v>24</v>
      </c>
      <c r="O58" s="71">
        <f t="shared" si="22"/>
        <v>463.3653385</v>
      </c>
    </row>
    <row r="59">
      <c r="I59" s="19" t="s">
        <v>147</v>
      </c>
      <c r="J59" s="16" t="s">
        <v>55</v>
      </c>
      <c r="K59" s="45">
        <f>C17</f>
        <v>1240</v>
      </c>
    </row>
    <row r="60">
      <c r="E60" s="53" t="s">
        <v>133</v>
      </c>
      <c r="F60" s="2"/>
      <c r="G60" s="3"/>
      <c r="I60" s="13" t="s">
        <v>286</v>
      </c>
      <c r="J60" s="14" t="s">
        <v>15</v>
      </c>
      <c r="K60" s="80">
        <f>C18/10^9</f>
        <v>0.000000015</v>
      </c>
      <c r="M60" s="9" t="s">
        <v>287</v>
      </c>
      <c r="N60" s="2"/>
      <c r="O60" s="3"/>
    </row>
    <row r="61">
      <c r="I61" s="46" t="s">
        <v>289</v>
      </c>
      <c r="J61" s="28" t="s">
        <v>290</v>
      </c>
      <c r="K61" s="81">
        <f>K60*K59</f>
        <v>0.0000186</v>
      </c>
      <c r="M61" s="13" t="s">
        <v>291</v>
      </c>
      <c r="N61" s="14" t="s">
        <v>24</v>
      </c>
      <c r="O61" s="18">
        <f>O58</f>
        <v>463.3653385</v>
      </c>
    </row>
    <row r="62">
      <c r="E62" s="9" t="s">
        <v>288</v>
      </c>
      <c r="F62" s="2"/>
      <c r="G62" s="3"/>
      <c r="I62" s="9" t="s">
        <v>127</v>
      </c>
      <c r="J62" s="2"/>
      <c r="K62" s="3"/>
      <c r="M62" s="13" t="s">
        <v>292</v>
      </c>
      <c r="N62" s="14" t="s">
        <v>110</v>
      </c>
      <c r="O62" s="18">
        <f>K12</f>
        <v>8.044799768</v>
      </c>
    </row>
    <row r="63">
      <c r="E63" s="19" t="s">
        <v>35</v>
      </c>
      <c r="F63" s="16" t="s">
        <v>22</v>
      </c>
      <c r="G63" s="45">
        <f t="shared" ref="G63:G64" si="23">C41/1000</f>
        <v>0.001</v>
      </c>
      <c r="I63" s="13" t="s">
        <v>289</v>
      </c>
      <c r="J63" s="16" t="s">
        <v>290</v>
      </c>
      <c r="K63" s="36">
        <f>K61</f>
        <v>0.0000186</v>
      </c>
      <c r="M63" s="13" t="s">
        <v>159</v>
      </c>
      <c r="N63" s="14" t="s">
        <v>113</v>
      </c>
      <c r="O63" s="18">
        <f>K54</f>
        <v>4.845308706</v>
      </c>
    </row>
    <row r="64">
      <c r="E64" s="13" t="s">
        <v>39</v>
      </c>
      <c r="F64" s="14" t="s">
        <v>22</v>
      </c>
      <c r="G64" s="18">
        <f t="shared" si="23"/>
        <v>0.003</v>
      </c>
      <c r="I64" s="13" t="s">
        <v>293</v>
      </c>
      <c r="J64" s="14" t="s">
        <v>157</v>
      </c>
      <c r="K64" s="18">
        <f>C19</f>
        <v>1800</v>
      </c>
      <c r="M64" s="46" t="s">
        <v>160</v>
      </c>
      <c r="N64" s="28" t="s">
        <v>24</v>
      </c>
      <c r="O64" s="59">
        <f>O61+O62*O63</f>
        <v>502.3448768</v>
      </c>
    </row>
    <row r="65">
      <c r="E65" s="13" t="s">
        <v>242</v>
      </c>
      <c r="F65" s="14" t="s">
        <v>22</v>
      </c>
      <c r="G65" s="18">
        <f>C39/1000</f>
        <v>0.005</v>
      </c>
      <c r="I65" s="13" t="s">
        <v>295</v>
      </c>
      <c r="J65" s="14" t="s">
        <v>24</v>
      </c>
      <c r="K65" s="18">
        <f t="shared" ref="K65:K66" si="24">C20+273</f>
        <v>333</v>
      </c>
      <c r="M65" s="9" t="s">
        <v>296</v>
      </c>
      <c r="N65" s="2"/>
      <c r="O65" s="3"/>
    </row>
    <row r="66">
      <c r="E66" s="13" t="s">
        <v>294</v>
      </c>
      <c r="F66" s="14" t="s">
        <v>52</v>
      </c>
      <c r="G66" s="18">
        <f>C11</f>
        <v>14.58</v>
      </c>
      <c r="I66" s="13" t="s">
        <v>298</v>
      </c>
      <c r="J66" s="14" t="s">
        <v>24</v>
      </c>
      <c r="K66" s="18">
        <f t="shared" si="24"/>
        <v>503</v>
      </c>
      <c r="M66" s="13" t="s">
        <v>299</v>
      </c>
      <c r="N66" s="14" t="s">
        <v>24</v>
      </c>
      <c r="O66" s="18">
        <f>O64</f>
        <v>502.3448768</v>
      </c>
    </row>
    <row r="67">
      <c r="E67" s="32" t="s">
        <v>297</v>
      </c>
      <c r="F67" s="28" t="s">
        <v>110</v>
      </c>
      <c r="G67" s="34">
        <f>LN((G64/G63))/(2*pi()*G65*G66)</f>
        <v>2.398485271</v>
      </c>
      <c r="I67" s="46" t="s">
        <v>301</v>
      </c>
      <c r="J67" s="28" t="s">
        <v>113</v>
      </c>
      <c r="K67" s="82">
        <f>K63*K64*(K66-K65)</f>
        <v>5.6916</v>
      </c>
      <c r="M67" s="13" t="s">
        <v>133</v>
      </c>
      <c r="N67" s="14" t="s">
        <v>110</v>
      </c>
      <c r="O67" s="18">
        <f>K11</f>
        <v>0.09116760082</v>
      </c>
    </row>
    <row r="68">
      <c r="E68" s="9" t="s">
        <v>300</v>
      </c>
      <c r="F68" s="2"/>
      <c r="G68" s="3"/>
      <c r="M68" s="13" t="s">
        <v>159</v>
      </c>
      <c r="N68" s="14" t="s">
        <v>113</v>
      </c>
      <c r="O68" s="18">
        <f>K54</f>
        <v>4.845308706</v>
      </c>
    </row>
    <row r="69">
      <c r="E69" s="19" t="s">
        <v>200</v>
      </c>
      <c r="F69" s="16" t="s">
        <v>52</v>
      </c>
      <c r="G69" s="45">
        <f>C9</f>
        <v>155.3</v>
      </c>
      <c r="I69" s="1" t="s">
        <v>302</v>
      </c>
      <c r="J69" s="2"/>
      <c r="K69" s="3"/>
      <c r="M69" s="46" t="s">
        <v>160</v>
      </c>
      <c r="N69" s="28" t="s">
        <v>24</v>
      </c>
      <c r="O69" s="59">
        <f>O66+O67*O68</f>
        <v>502.786612</v>
      </c>
    </row>
    <row r="70">
      <c r="E70" s="13" t="s">
        <v>242</v>
      </c>
      <c r="F70" s="14" t="s">
        <v>22</v>
      </c>
      <c r="G70" s="18">
        <f>C39/1000</f>
        <v>0.005</v>
      </c>
    </row>
    <row r="71">
      <c r="E71" s="13" t="s">
        <v>65</v>
      </c>
      <c r="F71" s="14" t="s">
        <v>22</v>
      </c>
      <c r="G71" s="18">
        <f t="shared" ref="G71:G72" si="25">C35/1000</f>
        <v>0.023</v>
      </c>
      <c r="I71" s="50" t="s">
        <v>5</v>
      </c>
      <c r="J71" s="7" t="s">
        <v>6</v>
      </c>
      <c r="K71" s="51" t="s">
        <v>7</v>
      </c>
    </row>
    <row r="72">
      <c r="E72" s="13" t="s">
        <v>68</v>
      </c>
      <c r="F72" s="14" t="s">
        <v>22</v>
      </c>
      <c r="G72" s="18">
        <f t="shared" si="25"/>
        <v>0.016</v>
      </c>
      <c r="I72" s="9" t="s">
        <v>258</v>
      </c>
      <c r="J72" s="2"/>
      <c r="K72" s="3"/>
    </row>
    <row r="73">
      <c r="E73" s="13" t="s">
        <v>220</v>
      </c>
      <c r="F73" s="14" t="s">
        <v>28</v>
      </c>
      <c r="G73" s="18">
        <f>G71*G72</f>
        <v>0.000368</v>
      </c>
      <c r="I73" s="13" t="s">
        <v>121</v>
      </c>
      <c r="J73" s="14" t="s">
        <v>113</v>
      </c>
      <c r="K73" s="18">
        <f>K49</f>
        <v>0.04057280187</v>
      </c>
    </row>
    <row r="74">
      <c r="E74" s="13" t="s">
        <v>229</v>
      </c>
      <c r="F74" s="14" t="s">
        <v>28</v>
      </c>
      <c r="G74" s="18">
        <f>pi()*G64^2</f>
        <v>0.00002827433388</v>
      </c>
      <c r="I74" s="13" t="s">
        <v>159</v>
      </c>
      <c r="J74" s="14" t="s">
        <v>113</v>
      </c>
      <c r="K74" s="18">
        <f>K54</f>
        <v>4.845308706</v>
      </c>
    </row>
    <row r="75">
      <c r="E75" s="13" t="s">
        <v>234</v>
      </c>
      <c r="F75" s="14" t="s">
        <v>28</v>
      </c>
      <c r="G75" s="18">
        <f>G73-G74</f>
        <v>0.0003397256661</v>
      </c>
      <c r="I75" s="13" t="s">
        <v>301</v>
      </c>
      <c r="J75" s="14" t="s">
        <v>113</v>
      </c>
      <c r="K75" s="83">
        <f>K67</f>
        <v>5.6916</v>
      </c>
    </row>
    <row r="76">
      <c r="E76" s="46" t="s">
        <v>303</v>
      </c>
      <c r="F76" s="28" t="s">
        <v>110</v>
      </c>
      <c r="G76" s="47">
        <f>G70/(G69*G75)</f>
        <v>0.09476984924</v>
      </c>
      <c r="I76" s="46" t="s">
        <v>112</v>
      </c>
      <c r="J76" s="28" t="s">
        <v>113</v>
      </c>
      <c r="K76" s="59">
        <f>SUM(K73:K75)</f>
        <v>10.57748151</v>
      </c>
    </row>
    <row r="77">
      <c r="E77" s="69" t="s">
        <v>133</v>
      </c>
      <c r="F77" s="3"/>
      <c r="G77" s="70">
        <f>((1/G67)+(1/G76))^(-1)</f>
        <v>0.09116760082</v>
      </c>
    </row>
    <row r="79">
      <c r="E79" s="53" t="s">
        <v>292</v>
      </c>
      <c r="F79" s="2"/>
      <c r="G79" s="3"/>
    </row>
    <row r="81">
      <c r="E81" s="9" t="s">
        <v>304</v>
      </c>
      <c r="F81" s="2"/>
      <c r="G81" s="3"/>
    </row>
    <row r="82">
      <c r="E82" s="19" t="s">
        <v>35</v>
      </c>
      <c r="F82" s="16" t="s">
        <v>22</v>
      </c>
      <c r="G82" s="45">
        <f t="shared" ref="G82:G84" si="26">C44/1000</f>
        <v>0.001</v>
      </c>
    </row>
    <row r="83">
      <c r="E83" s="13" t="s">
        <v>39</v>
      </c>
      <c r="F83" s="14" t="s">
        <v>22</v>
      </c>
      <c r="G83" s="18">
        <f t="shared" si="26"/>
        <v>0.00148</v>
      </c>
    </row>
    <row r="84">
      <c r="E84" s="13" t="s">
        <v>43</v>
      </c>
      <c r="F84" s="14" t="s">
        <v>22</v>
      </c>
      <c r="G84" s="18">
        <f t="shared" si="26"/>
        <v>0.000525</v>
      </c>
    </row>
    <row r="85">
      <c r="E85" s="13" t="s">
        <v>294</v>
      </c>
      <c r="F85" s="14" t="s">
        <v>52</v>
      </c>
      <c r="G85" s="18">
        <f>C11</f>
        <v>14.58</v>
      </c>
    </row>
    <row r="86">
      <c r="E86" s="32" t="s">
        <v>308</v>
      </c>
      <c r="F86" s="33" t="s">
        <v>110</v>
      </c>
      <c r="G86" s="34">
        <f>LN((G83/G82))/(2*pi()*G84*G85)</f>
        <v>8.151471183</v>
      </c>
    </row>
    <row r="87">
      <c r="E87" s="9" t="s">
        <v>309</v>
      </c>
      <c r="F87" s="2"/>
      <c r="G87" s="3"/>
    </row>
    <row r="88">
      <c r="E88" s="19" t="s">
        <v>310</v>
      </c>
      <c r="F88" s="16" t="s">
        <v>19</v>
      </c>
      <c r="G88" s="61">
        <f>C13</f>
        <v>4.504503146</v>
      </c>
    </row>
    <row r="89">
      <c r="E89" s="13" t="s">
        <v>65</v>
      </c>
      <c r="F89" s="14" t="s">
        <v>22</v>
      </c>
      <c r="G89" s="18">
        <f t="shared" ref="G89:G90" si="27">C35/1000</f>
        <v>0.023</v>
      </c>
    </row>
    <row r="90">
      <c r="E90" s="13" t="s">
        <v>68</v>
      </c>
      <c r="F90" s="14" t="s">
        <v>22</v>
      </c>
      <c r="G90" s="18">
        <f t="shared" si="27"/>
        <v>0.016</v>
      </c>
    </row>
    <row r="91">
      <c r="E91" s="13" t="s">
        <v>220</v>
      </c>
      <c r="F91" s="14" t="s">
        <v>28</v>
      </c>
      <c r="G91" s="18">
        <f>G90*G89</f>
        <v>0.000368</v>
      </c>
    </row>
    <row r="92">
      <c r="E92" s="13" t="s">
        <v>229</v>
      </c>
      <c r="F92" s="14" t="s">
        <v>28</v>
      </c>
      <c r="G92" s="18">
        <f>pi()*G83^2</f>
        <v>0.000006881344548</v>
      </c>
    </row>
    <row r="93">
      <c r="E93" s="13" t="s">
        <v>234</v>
      </c>
      <c r="F93" s="14" t="s">
        <v>28</v>
      </c>
      <c r="G93" s="18">
        <f>G91-G92</f>
        <v>0.0003611186555</v>
      </c>
    </row>
    <row r="94">
      <c r="E94" s="46" t="s">
        <v>313</v>
      </c>
      <c r="F94" s="25" t="s">
        <v>110</v>
      </c>
      <c r="G94" s="59">
        <f>1/(G88*G93)</f>
        <v>614.7565727</v>
      </c>
    </row>
    <row r="95">
      <c r="E95" s="69" t="s">
        <v>292</v>
      </c>
      <c r="F95" s="3"/>
      <c r="G95" s="70">
        <f>((1/G86)+(1/G94))^(-1)</f>
        <v>8.044799768</v>
      </c>
    </row>
    <row r="97">
      <c r="E97" s="89" t="s">
        <v>318</v>
      </c>
      <c r="F97" s="2"/>
      <c r="G97" s="3"/>
    </row>
    <row r="99">
      <c r="E99" s="9" t="s">
        <v>319</v>
      </c>
      <c r="F99" s="2"/>
      <c r="G99" s="3"/>
    </row>
    <row r="100">
      <c r="E100" s="19" t="s">
        <v>35</v>
      </c>
      <c r="F100" s="16" t="s">
        <v>22</v>
      </c>
      <c r="G100" s="45">
        <f>C52/1000</f>
        <v>0.0028</v>
      </c>
    </row>
    <row r="101">
      <c r="E101" s="13" t="s">
        <v>39</v>
      </c>
      <c r="F101" s="14" t="s">
        <v>22</v>
      </c>
      <c r="G101" s="18">
        <f t="shared" ref="G101:G102" si="28">C54/1000</f>
        <v>0.011</v>
      </c>
    </row>
    <row r="102">
      <c r="E102" s="13" t="s">
        <v>43</v>
      </c>
      <c r="F102" s="14" t="s">
        <v>22</v>
      </c>
      <c r="G102" s="18">
        <f t="shared" si="28"/>
        <v>0.0015</v>
      </c>
    </row>
    <row r="103">
      <c r="E103" s="13" t="s">
        <v>200</v>
      </c>
      <c r="F103" s="14" t="s">
        <v>52</v>
      </c>
      <c r="G103" s="18">
        <f>C9</f>
        <v>155.3</v>
      </c>
    </row>
    <row r="104">
      <c r="E104" s="32" t="s">
        <v>320</v>
      </c>
      <c r="F104" s="33" t="s">
        <v>110</v>
      </c>
      <c r="G104" s="34">
        <f>LN((G101/G100))/(2*pi()*G102*G103)</f>
        <v>0.9348266406</v>
      </c>
    </row>
    <row r="105">
      <c r="E105" s="9" t="s">
        <v>321</v>
      </c>
      <c r="F105" s="2"/>
      <c r="G105" s="3"/>
    </row>
    <row r="106">
      <c r="E106" s="19" t="s">
        <v>35</v>
      </c>
      <c r="F106" s="16" t="s">
        <v>22</v>
      </c>
      <c r="G106" s="45">
        <f t="shared" ref="G106:G107" si="29">C49/1000</f>
        <v>0.001</v>
      </c>
    </row>
    <row r="107">
      <c r="E107" s="13" t="s">
        <v>39</v>
      </c>
      <c r="F107" s="14" t="s">
        <v>22</v>
      </c>
      <c r="G107" s="18">
        <f t="shared" si="29"/>
        <v>0.0035</v>
      </c>
    </row>
    <row r="108">
      <c r="E108" s="13" t="s">
        <v>43</v>
      </c>
      <c r="F108" s="14" t="s">
        <v>22</v>
      </c>
      <c r="G108" s="18">
        <f>C55/1000</f>
        <v>0.0015</v>
      </c>
    </row>
    <row r="109">
      <c r="E109" s="13" t="s">
        <v>322</v>
      </c>
      <c r="F109" s="14" t="s">
        <v>52</v>
      </c>
      <c r="G109" s="18">
        <f>C11</f>
        <v>14.58</v>
      </c>
    </row>
    <row r="110">
      <c r="E110" s="32" t="s">
        <v>323</v>
      </c>
      <c r="F110" s="33" t="s">
        <v>110</v>
      </c>
      <c r="G110" s="34">
        <f>LN((G107/G106))/(2*pi()*G108*G109)</f>
        <v>9.116754411</v>
      </c>
    </row>
    <row r="111">
      <c r="E111" s="9" t="s">
        <v>324</v>
      </c>
      <c r="F111" s="2"/>
      <c r="G111" s="3"/>
    </row>
    <row r="112">
      <c r="E112" s="19" t="s">
        <v>35</v>
      </c>
      <c r="F112" s="16" t="s">
        <v>22</v>
      </c>
      <c r="G112" s="45">
        <f t="shared" ref="G112:G113" si="30">C52/1000</f>
        <v>0.0028</v>
      </c>
    </row>
    <row r="113">
      <c r="E113" s="13" t="s">
        <v>39</v>
      </c>
      <c r="F113" s="14" t="s">
        <v>22</v>
      </c>
      <c r="G113" s="18">
        <f t="shared" si="30"/>
        <v>0.004</v>
      </c>
    </row>
    <row r="114">
      <c r="E114" s="13" t="s">
        <v>43</v>
      </c>
      <c r="F114" s="14" t="s">
        <v>22</v>
      </c>
      <c r="G114" s="18">
        <f>C56</f>
        <v>1</v>
      </c>
    </row>
    <row r="115">
      <c r="E115" s="13" t="s">
        <v>200</v>
      </c>
      <c r="F115" s="14" t="s">
        <v>52</v>
      </c>
      <c r="G115" s="18">
        <f>C9</f>
        <v>155.3</v>
      </c>
    </row>
    <row r="116">
      <c r="E116" s="46" t="s">
        <v>325</v>
      </c>
      <c r="F116" s="28" t="s">
        <v>110</v>
      </c>
      <c r="G116" s="47">
        <f>LN((G113/G112))/(2*pi()*G114*G115)</f>
        <v>0.000365528528</v>
      </c>
    </row>
    <row r="117">
      <c r="E117" s="9" t="s">
        <v>326</v>
      </c>
      <c r="F117" s="2"/>
      <c r="G117" s="3"/>
    </row>
    <row r="118">
      <c r="E118" s="19" t="s">
        <v>35</v>
      </c>
      <c r="F118" s="16" t="s">
        <v>22</v>
      </c>
      <c r="G118" s="45">
        <f t="shared" ref="G118:G119" si="31">C49/1000</f>
        <v>0.001</v>
      </c>
    </row>
    <row r="119">
      <c r="E119" s="13" t="s">
        <v>39</v>
      </c>
      <c r="F119" s="14" t="s">
        <v>22</v>
      </c>
      <c r="G119" s="18">
        <f t="shared" si="31"/>
        <v>0.0035</v>
      </c>
    </row>
    <row r="120">
      <c r="E120" s="13" t="s">
        <v>43</v>
      </c>
      <c r="F120" s="14" t="s">
        <v>22</v>
      </c>
      <c r="G120" s="18">
        <f>C56/1000</f>
        <v>0.001</v>
      </c>
    </row>
    <row r="121">
      <c r="E121" s="13" t="s">
        <v>322</v>
      </c>
      <c r="F121" s="14" t="s">
        <v>52</v>
      </c>
      <c r="G121" s="18">
        <f>C11</f>
        <v>14.58</v>
      </c>
    </row>
    <row r="122">
      <c r="E122" s="32" t="s">
        <v>327</v>
      </c>
      <c r="F122" s="33" t="s">
        <v>110</v>
      </c>
      <c r="G122" s="34">
        <f>LN((G119/G118))/(2*pi()*G120*G121)</f>
        <v>13.67513162</v>
      </c>
    </row>
    <row r="123">
      <c r="E123" s="9" t="s">
        <v>328</v>
      </c>
      <c r="F123" s="2"/>
      <c r="G123" s="3"/>
    </row>
    <row r="124">
      <c r="E124" s="19" t="s">
        <v>329</v>
      </c>
      <c r="F124" s="16" t="s">
        <v>19</v>
      </c>
      <c r="G124" s="61">
        <f>C15</f>
        <v>54.43080556</v>
      </c>
    </row>
    <row r="125">
      <c r="E125" s="13" t="s">
        <v>78</v>
      </c>
      <c r="F125" s="14" t="s">
        <v>22</v>
      </c>
      <c r="G125" s="18">
        <f t="shared" ref="G125:G126" si="32">C53/1000</f>
        <v>0.004</v>
      </c>
    </row>
    <row r="126">
      <c r="E126" s="13" t="s">
        <v>39</v>
      </c>
      <c r="F126" s="14" t="s">
        <v>22</v>
      </c>
      <c r="G126" s="18">
        <f t="shared" si="32"/>
        <v>0.011</v>
      </c>
    </row>
    <row r="127">
      <c r="E127" s="13" t="s">
        <v>330</v>
      </c>
      <c r="F127" s="14" t="s">
        <v>28</v>
      </c>
      <c r="G127" s="18">
        <f>pi()*(G126^2-G125^2)</f>
        <v>0.0003298672286</v>
      </c>
    </row>
    <row r="128">
      <c r="E128" s="46" t="s">
        <v>331</v>
      </c>
      <c r="F128" s="25" t="s">
        <v>110</v>
      </c>
      <c r="G128" s="59">
        <f>1/(G124*G127)</f>
        <v>55.69498181</v>
      </c>
    </row>
    <row r="129">
      <c r="E129" s="69" t="s">
        <v>332</v>
      </c>
      <c r="F129" s="3"/>
      <c r="G129" s="70">
        <f>((1/G104)+(1/G110))^(-1)</f>
        <v>0.8478850099</v>
      </c>
    </row>
    <row r="130">
      <c r="E130" s="69" t="s">
        <v>333</v>
      </c>
      <c r="F130" s="3"/>
      <c r="G130" s="70">
        <f>((1/G116)+(1/G122)+(1/G128))^(-1)</f>
        <v>0.0003655163591</v>
      </c>
    </row>
    <row r="131">
      <c r="E131" s="69" t="s">
        <v>334</v>
      </c>
      <c r="F131" s="3"/>
      <c r="G131" s="70">
        <f>G104</f>
        <v>0.9348266406</v>
      </c>
    </row>
    <row r="132">
      <c r="E132" s="69" t="s">
        <v>335</v>
      </c>
      <c r="F132" s="3"/>
      <c r="G132" s="70">
        <f>((1/G116)+(1/G128))^(-1)</f>
        <v>0.0003655261291</v>
      </c>
    </row>
  </sheetData>
  <mergeCells count="68">
    <mergeCell ref="A48:C48"/>
    <mergeCell ref="E49:G49"/>
    <mergeCell ref="I50:K50"/>
    <mergeCell ref="A51:C51"/>
    <mergeCell ref="M53:O53"/>
    <mergeCell ref="I56:K56"/>
    <mergeCell ref="I58:K58"/>
    <mergeCell ref="E58:F58"/>
    <mergeCell ref="E60:G60"/>
    <mergeCell ref="M60:O60"/>
    <mergeCell ref="E62:G62"/>
    <mergeCell ref="I62:K62"/>
    <mergeCell ref="M65:O65"/>
    <mergeCell ref="E68:G68"/>
    <mergeCell ref="E130:F130"/>
    <mergeCell ref="E131:F131"/>
    <mergeCell ref="E132:F132"/>
    <mergeCell ref="E97:G97"/>
    <mergeCell ref="E99:G99"/>
    <mergeCell ref="E105:G105"/>
    <mergeCell ref="E111:G111"/>
    <mergeCell ref="E117:G117"/>
    <mergeCell ref="E123:G123"/>
    <mergeCell ref="E129:F129"/>
    <mergeCell ref="M5:O5"/>
    <mergeCell ref="Q5:S5"/>
    <mergeCell ref="A2:C2"/>
    <mergeCell ref="E2:G2"/>
    <mergeCell ref="I2:K2"/>
    <mergeCell ref="M2:O2"/>
    <mergeCell ref="Q2:S2"/>
    <mergeCell ref="I5:K5"/>
    <mergeCell ref="E6:G6"/>
    <mergeCell ref="A5:C5"/>
    <mergeCell ref="A8:C8"/>
    <mergeCell ref="E8:G8"/>
    <mergeCell ref="I9:K9"/>
    <mergeCell ref="M10:O10"/>
    <mergeCell ref="Q10:R10"/>
    <mergeCell ref="Q13:S13"/>
    <mergeCell ref="A12:C12"/>
    <mergeCell ref="E14:G14"/>
    <mergeCell ref="A16:C16"/>
    <mergeCell ref="M16:O16"/>
    <mergeCell ref="E20:F20"/>
    <mergeCell ref="M22:O22"/>
    <mergeCell ref="A23:C23"/>
    <mergeCell ref="E22:G22"/>
    <mergeCell ref="E24:G24"/>
    <mergeCell ref="A26:C26"/>
    <mergeCell ref="A30:C30"/>
    <mergeCell ref="E30:G30"/>
    <mergeCell ref="A33:C33"/>
    <mergeCell ref="A34:C34"/>
    <mergeCell ref="E39:F39"/>
    <mergeCell ref="A40:C40"/>
    <mergeCell ref="E41:G41"/>
    <mergeCell ref="I42:K42"/>
    <mergeCell ref="A43:C43"/>
    <mergeCell ref="E43:G43"/>
    <mergeCell ref="I45:K45"/>
    <mergeCell ref="I69:K69"/>
    <mergeCell ref="I72:K72"/>
    <mergeCell ref="E77:F77"/>
    <mergeCell ref="E79:G79"/>
    <mergeCell ref="E81:G81"/>
    <mergeCell ref="E87:G87"/>
    <mergeCell ref="E95:F95"/>
  </mergeCells>
  <drawing r:id="rId1"/>
</worksheet>
</file>