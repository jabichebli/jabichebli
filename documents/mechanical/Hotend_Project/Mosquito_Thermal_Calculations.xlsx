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Jason\Monash\jabichebli\documents\mechanical\Hotend_Project\"/>
    </mc:Choice>
  </mc:AlternateContent>
  <xr:revisionPtr revIDLastSave="0" documentId="13_ncr:1_{E2B5E122-1A48-4D21-ADB6-812FB9D4960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Flow Rate Calculations" sheetId="1" r:id="rId1"/>
    <sheet name="Heat Break Perform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H49" i="1"/>
  <c r="G108" i="1" s="1"/>
  <c r="H48" i="1"/>
  <c r="H47" i="1"/>
  <c r="H46" i="1"/>
  <c r="H38" i="1"/>
  <c r="G107" i="1" s="1"/>
  <c r="H37" i="1"/>
  <c r="H36" i="1"/>
  <c r="H35" i="1"/>
  <c r="H39" i="1" s="1"/>
  <c r="Q34" i="1"/>
  <c r="C27" i="1"/>
  <c r="C26" i="1" s="1"/>
  <c r="M10" i="1" s="1"/>
  <c r="Q21" i="1" s="1"/>
  <c r="M26" i="1"/>
  <c r="H25" i="1"/>
  <c r="C25" i="1"/>
  <c r="M9" i="1" s="1"/>
  <c r="Q20" i="1" s="1"/>
  <c r="C24" i="1"/>
  <c r="M22" i="1"/>
  <c r="M21" i="1"/>
  <c r="H21" i="1"/>
  <c r="M20" i="1"/>
  <c r="H20" i="1"/>
  <c r="M19" i="1"/>
  <c r="Q13" i="1" s="1"/>
  <c r="H19" i="1"/>
  <c r="H18" i="1"/>
  <c r="Q16" i="1"/>
  <c r="Q15" i="1"/>
  <c r="Q14" i="1"/>
  <c r="H10" i="1"/>
  <c r="Q9" i="1"/>
  <c r="H9" i="1"/>
  <c r="Q8" i="1"/>
  <c r="Q10" i="1" s="1"/>
  <c r="Q12" i="1" s="1"/>
  <c r="Q17" i="1" s="1"/>
  <c r="Q22" i="1" s="1"/>
  <c r="M8" i="1"/>
  <c r="Q19" i="1" s="1"/>
  <c r="H8" i="1"/>
  <c r="M7" i="1"/>
  <c r="H7" i="1"/>
  <c r="S20" i="1" l="1"/>
  <c r="Q26" i="1"/>
  <c r="Q23" i="1"/>
  <c r="Q33" i="1" s="1"/>
  <c r="Q35" i="1" s="1"/>
  <c r="Q25" i="1"/>
  <c r="Q30" i="1" s="1"/>
  <c r="N12" i="1"/>
  <c r="I39" i="1"/>
  <c r="H45" i="1"/>
  <c r="H50" i="1" s="1"/>
  <c r="H52" i="1" s="1"/>
  <c r="H54" i="1" s="1"/>
  <c r="H55" i="1" s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H11" i="1"/>
  <c r="H17" i="1" s="1"/>
  <c r="H22" i="1" s="1"/>
  <c r="H24" i="1" s="1"/>
  <c r="H26" i="1" s="1"/>
  <c r="H27" i="1" s="1"/>
  <c r="M34" i="1" s="1"/>
  <c r="M43" i="1" s="1"/>
  <c r="G62" i="1"/>
  <c r="G66" i="1"/>
  <c r="G70" i="1"/>
  <c r="G74" i="1"/>
  <c r="G78" i="1"/>
  <c r="G82" i="1"/>
  <c r="G86" i="1"/>
  <c r="G90" i="1"/>
  <c r="G94" i="1"/>
  <c r="G98" i="1"/>
  <c r="G102" i="1"/>
  <c r="G106" i="1"/>
  <c r="M11" i="1"/>
  <c r="M12" i="1"/>
  <c r="M18" i="1" s="1"/>
  <c r="M23" i="1" s="1"/>
  <c r="M25" i="1" s="1"/>
  <c r="M27" i="1" s="1"/>
  <c r="M28" i="1" s="1"/>
  <c r="M35" i="1" s="1"/>
  <c r="G59" i="1"/>
  <c r="G63" i="1"/>
  <c r="G67" i="1"/>
  <c r="G71" i="1"/>
  <c r="G75" i="1"/>
  <c r="G79" i="1"/>
  <c r="G83" i="1"/>
  <c r="G87" i="1"/>
  <c r="G91" i="1"/>
  <c r="G95" i="1"/>
  <c r="G99" i="1"/>
  <c r="G103" i="1"/>
  <c r="G60" i="1"/>
  <c r="G64" i="1"/>
  <c r="G68" i="1"/>
  <c r="G72" i="1"/>
  <c r="G76" i="1"/>
  <c r="G80" i="1"/>
  <c r="G84" i="1"/>
  <c r="G88" i="1"/>
  <c r="G92" i="1"/>
  <c r="G96" i="1"/>
  <c r="G100" i="1"/>
  <c r="G104" i="1"/>
  <c r="M36" i="1" l="1"/>
  <c r="M37" i="1" s="1"/>
  <c r="M44" i="1"/>
  <c r="M45" i="1" s="1"/>
  <c r="L179" i="1"/>
  <c r="L171" i="1"/>
  <c r="L163" i="1"/>
  <c r="L155" i="1"/>
  <c r="L147" i="1"/>
  <c r="L139" i="1"/>
  <c r="L131" i="1"/>
  <c r="L123" i="1"/>
  <c r="L115" i="1"/>
  <c r="L108" i="1"/>
  <c r="L104" i="1"/>
  <c r="L100" i="1"/>
  <c r="L96" i="1"/>
  <c r="L92" i="1"/>
  <c r="L88" i="1"/>
  <c r="L84" i="1"/>
  <c r="L80" i="1"/>
  <c r="L76" i="1"/>
  <c r="L72" i="1"/>
  <c r="L68" i="1"/>
  <c r="L64" i="1"/>
  <c r="L60" i="1"/>
  <c r="L178" i="1"/>
  <c r="L170" i="1"/>
  <c r="L162" i="1"/>
  <c r="L154" i="1"/>
  <c r="L146" i="1"/>
  <c r="L138" i="1"/>
  <c r="L130" i="1"/>
  <c r="L122" i="1"/>
  <c r="L114" i="1"/>
  <c r="L177" i="1"/>
  <c r="L169" i="1"/>
  <c r="L161" i="1"/>
  <c r="L153" i="1"/>
  <c r="L145" i="1"/>
  <c r="L137" i="1"/>
  <c r="L129" i="1"/>
  <c r="L121" i="1"/>
  <c r="L113" i="1"/>
  <c r="L107" i="1"/>
  <c r="L103" i="1"/>
  <c r="L99" i="1"/>
  <c r="L95" i="1"/>
  <c r="L91" i="1"/>
  <c r="L87" i="1"/>
  <c r="L83" i="1"/>
  <c r="L79" i="1"/>
  <c r="L75" i="1"/>
  <c r="L71" i="1"/>
  <c r="L67" i="1"/>
  <c r="L63" i="1"/>
  <c r="L59" i="1"/>
  <c r="L176" i="1"/>
  <c r="L168" i="1"/>
  <c r="L160" i="1"/>
  <c r="L152" i="1"/>
  <c r="L144" i="1"/>
  <c r="L136" i="1"/>
  <c r="L128" i="1"/>
  <c r="L120" i="1"/>
  <c r="L112" i="1"/>
  <c r="L175" i="1"/>
  <c r="L167" i="1"/>
  <c r="L159" i="1"/>
  <c r="L151" i="1"/>
  <c r="L143" i="1"/>
  <c r="L135" i="1"/>
  <c r="L127" i="1"/>
  <c r="L119" i="1"/>
  <c r="L111" i="1"/>
  <c r="L106" i="1"/>
  <c r="L102" i="1"/>
  <c r="L98" i="1"/>
  <c r="L94" i="1"/>
  <c r="L90" i="1"/>
  <c r="L86" i="1"/>
  <c r="L82" i="1"/>
  <c r="L78" i="1"/>
  <c r="L74" i="1"/>
  <c r="L70" i="1"/>
  <c r="L66" i="1"/>
  <c r="L62" i="1"/>
  <c r="L174" i="1"/>
  <c r="L166" i="1"/>
  <c r="L158" i="1"/>
  <c r="L150" i="1"/>
  <c r="L142" i="1"/>
  <c r="L134" i="1"/>
  <c r="L126" i="1"/>
  <c r="L118" i="1"/>
  <c r="L110" i="1"/>
  <c r="L173" i="1"/>
  <c r="L165" i="1"/>
  <c r="L157" i="1"/>
  <c r="L149" i="1"/>
  <c r="L141" i="1"/>
  <c r="L133" i="1"/>
  <c r="L125" i="1"/>
  <c r="L117" i="1"/>
  <c r="L109" i="1"/>
  <c r="L105" i="1"/>
  <c r="L101" i="1"/>
  <c r="L97" i="1"/>
  <c r="L93" i="1"/>
  <c r="L89" i="1"/>
  <c r="L85" i="1"/>
  <c r="L81" i="1"/>
  <c r="L77" i="1"/>
  <c r="L73" i="1"/>
  <c r="L69" i="1"/>
  <c r="L65" i="1"/>
  <c r="L61" i="1"/>
  <c r="L172" i="1"/>
  <c r="L164" i="1"/>
  <c r="L156" i="1"/>
  <c r="L148" i="1"/>
  <c r="L140" i="1"/>
  <c r="L132" i="1"/>
  <c r="L124" i="1"/>
  <c r="L116" i="1"/>
  <c r="I11" i="1"/>
  <c r="Q27" i="1"/>
  <c r="Q31" i="1" s="1"/>
  <c r="Q24" i="1"/>
  <c r="Q29" i="1" l="1"/>
  <c r="R27" i="1"/>
</calcChain>
</file>

<file path=xl/sharedStrings.xml><?xml version="1.0" encoding="utf-8"?>
<sst xmlns="http://schemas.openxmlformats.org/spreadsheetml/2006/main" count="273" uniqueCount="84">
  <si>
    <t>Inputs</t>
  </si>
  <si>
    <t>Calculations for Slice Mosquito Hotend</t>
  </si>
  <si>
    <t>Calculations for Pod 3 Hotend</t>
  </si>
  <si>
    <t>Initial Inputs</t>
  </si>
  <si>
    <t>Heat Flow</t>
  </si>
  <si>
    <t>Working out the Actual Power Consumption</t>
  </si>
  <si>
    <t>Name</t>
  </si>
  <si>
    <t>Units</t>
  </si>
  <si>
    <t>Value</t>
  </si>
  <si>
    <t>PLA Properties</t>
  </si>
  <si>
    <t>Calculate Heat Remaining for Filament</t>
  </si>
  <si>
    <t>Calculate Mass Flow Rate</t>
  </si>
  <si>
    <t>Density of PLA</t>
  </si>
  <si>
    <t>kg/m^3</t>
  </si>
  <si>
    <t>Total Heater Cartridge Power of Slice</t>
  </si>
  <si>
    <t>W</t>
  </si>
  <si>
    <t>Total Heater Cartridge Power of Pod 3</t>
  </si>
  <si>
    <t xml:space="preserve">Maximum Volumetric Flowrate from Testing </t>
  </si>
  <si>
    <t>mm^3/s</t>
  </si>
  <si>
    <t>Latent Heat of PLA</t>
  </si>
  <si>
    <t>J/g</t>
  </si>
  <si>
    <t>Total Heat Out through Natural Convenction - ANSYS</t>
  </si>
  <si>
    <t>m^3/s</t>
  </si>
  <si>
    <t>Specific Heat Capacity of PLA</t>
  </si>
  <si>
    <t>J/kgK</t>
  </si>
  <si>
    <t>Total Heat Out through Forced Convection - ANSYS</t>
  </si>
  <si>
    <t>Temperature of unheated PLA</t>
  </si>
  <si>
    <t>C</t>
  </si>
  <si>
    <t>Total Heat In through Constant Temperature - ANSYS</t>
  </si>
  <si>
    <t>Check</t>
  </si>
  <si>
    <t>Total Heat Out through Radiation - ANSYS</t>
  </si>
  <si>
    <t>Mass Flowrate</t>
  </si>
  <si>
    <t>kg/s</t>
  </si>
  <si>
    <t>Temperature of heated PLA</t>
  </si>
  <si>
    <t>Total Remaining Heat for Filament</t>
  </si>
  <si>
    <t>Calculate Power Consumption</t>
  </si>
  <si>
    <t>Heater Cartridge Power</t>
  </si>
  <si>
    <t>Total Heater Cartridge Power for Slice</t>
  </si>
  <si>
    <t>Working out the Volumetric Flow Rate</t>
  </si>
  <si>
    <t>Specifc Heat Capacity of PLA</t>
  </si>
  <si>
    <t>Total Heater Cartridge Power for Pod 3</t>
  </si>
  <si>
    <t>Temperature Unheated PLA</t>
  </si>
  <si>
    <t>K</t>
  </si>
  <si>
    <t>Slice Mosqutio Hotend - ANSYS Results</t>
  </si>
  <si>
    <t>Temperature Heated PLA</t>
  </si>
  <si>
    <t>J/kg</t>
  </si>
  <si>
    <t>Remaining Heat for Filament</t>
  </si>
  <si>
    <t>Power used to heat filament</t>
  </si>
  <si>
    <t>Calculate Proportions</t>
  </si>
  <si>
    <t>Slice Mosqutio Hotend - ANSYS Results (Natural Convection Including Heat Sink)</t>
  </si>
  <si>
    <t>Total Heat Out through Natural Convection</t>
  </si>
  <si>
    <t>Total Heat Out through Forced Convection</t>
  </si>
  <si>
    <t>Total Heat Out through Radiation</t>
  </si>
  <si>
    <t>Total Heat Out through Filament</t>
  </si>
  <si>
    <t>Pod 3 Hotend - ANSYS Results</t>
  </si>
  <si>
    <t>Calculate Volumetric Flow Rate</t>
  </si>
  <si>
    <t>Total Power Inputted</t>
  </si>
  <si>
    <t>Proportion of Power to Melt Filament</t>
  </si>
  <si>
    <t>Unitless</t>
  </si>
  <si>
    <t>Proportion of  Power lost to Natural Convection</t>
  </si>
  <si>
    <t>Volumetric Flowrate of PLA</t>
  </si>
  <si>
    <t>Proportion of  Power lost to Forced Convection</t>
  </si>
  <si>
    <t>Proportion of  Power lost to Radiation</t>
  </si>
  <si>
    <t>Calculations for Slice Mosquito Hotend (Natural Convection Including Heat Sink)</t>
  </si>
  <si>
    <t>Calculating Increase or Decrease in Flow Rate</t>
  </si>
  <si>
    <t>Proportion of  Power lost to Convection</t>
  </si>
  <si>
    <t>Calculate Duty Cycle</t>
  </si>
  <si>
    <t>Calculate whether our hotend is better or not</t>
  </si>
  <si>
    <t xml:space="preserve">Power Required </t>
  </si>
  <si>
    <t>Original Slice Mosquito Hotend Flowrate</t>
  </si>
  <si>
    <t>Maximum Possible Power</t>
  </si>
  <si>
    <t>Total Heater Cartridge Power</t>
  </si>
  <si>
    <t xml:space="preserve">Pod 3 New Hotend Flowrate </t>
  </si>
  <si>
    <t>Duty Cycle</t>
  </si>
  <si>
    <t>%</t>
  </si>
  <si>
    <t>Difference in Flowrate</t>
  </si>
  <si>
    <t>Volumetric Flowrate of PLA INCREASE</t>
  </si>
  <si>
    <t>Slice Mosquito Hotend</t>
  </si>
  <si>
    <t>Pod 3 Hotend</t>
  </si>
  <si>
    <t>Heat Inputted (W)</t>
  </si>
  <si>
    <t>Volumetric Flowrate</t>
  </si>
  <si>
    <t>Slice Mosquito Hotend (More Convection)</t>
  </si>
  <si>
    <t>Distance travelled (mm)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</si>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</sst>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"/>
    <numFmt numFmtId="166" formatCode="0.0"/>
    <numFmt numFmtId="167" formatCode="0.0%"/>
    <numFmt numFmtId="168" formatCode="0.000000"/>
  </numFmts>
  <fonts count="17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4" fillId="0" borderId="8" xfId="0" applyFont="1" applyBorder="1"/>
    <xf numFmtId="0" fontId="4" fillId="0" borderId="9" xfId="0" applyFont="1" applyBorder="1"/>
    <xf numFmtId="0" fontId="4" fillId="3" borderId="9" xfId="0" applyFont="1" applyFill="1" applyBorder="1" applyAlignment="1">
      <alignment horizontal="right"/>
    </xf>
    <xf numFmtId="0" fontId="4" fillId="0" borderId="9" xfId="0" applyFont="1" applyBorder="1" applyAlignment="1">
      <alignment horizontal="right"/>
    </xf>
    <xf numFmtId="4" fontId="4" fillId="0" borderId="9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0" fontId="8" fillId="0" borderId="10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9" xfId="0" applyFont="1" applyBorder="1" applyAlignment="1">
      <alignment horizontal="right"/>
    </xf>
    <xf numFmtId="0" fontId="4" fillId="0" borderId="5" xfId="0" applyFont="1" applyBorder="1"/>
    <xf numFmtId="0" fontId="4" fillId="0" borderId="6" xfId="0" applyFont="1" applyBorder="1"/>
    <xf numFmtId="0" fontId="4" fillId="3" borderId="6" xfId="0" applyFont="1" applyFill="1" applyBorder="1" applyAlignment="1">
      <alignment horizontal="right"/>
    </xf>
    <xf numFmtId="0" fontId="9" fillId="0" borderId="5" xfId="0" applyFont="1" applyBorder="1"/>
    <xf numFmtId="0" fontId="9" fillId="0" borderId="6" xfId="0" applyFont="1" applyBorder="1"/>
    <xf numFmtId="164" fontId="9" fillId="0" borderId="6" xfId="0" applyNumberFormat="1" applyFont="1" applyBorder="1" applyAlignment="1">
      <alignment horizontal="right"/>
    </xf>
    <xf numFmtId="3" fontId="10" fillId="0" borderId="5" xfId="0" applyNumberFormat="1" applyFont="1" applyBorder="1"/>
    <xf numFmtId="4" fontId="9" fillId="0" borderId="6" xfId="0" applyNumberFormat="1" applyFont="1" applyBorder="1" applyAlignment="1">
      <alignment horizontal="right"/>
    </xf>
    <xf numFmtId="165" fontId="10" fillId="0" borderId="5" xfId="0" applyNumberFormat="1" applyFont="1" applyBorder="1"/>
    <xf numFmtId="164" fontId="4" fillId="3" borderId="9" xfId="0" applyNumberFormat="1" applyFont="1" applyFill="1" applyBorder="1" applyAlignment="1">
      <alignment horizontal="right"/>
    </xf>
    <xf numFmtId="4" fontId="10" fillId="0" borderId="10" xfId="0" applyNumberFormat="1" applyFont="1" applyBorder="1"/>
    <xf numFmtId="0" fontId="10" fillId="0" borderId="11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0" xfId="0" applyFont="1"/>
    <xf numFmtId="4" fontId="10" fillId="0" borderId="9" xfId="0" applyNumberFormat="1" applyFont="1" applyBorder="1"/>
    <xf numFmtId="11" fontId="9" fillId="0" borderId="6" xfId="0" applyNumberFormat="1" applyFont="1" applyBorder="1" applyAlignment="1">
      <alignment horizontal="right"/>
    </xf>
    <xf numFmtId="0" fontId="10" fillId="0" borderId="7" xfId="0" applyFont="1" applyBorder="1"/>
    <xf numFmtId="0" fontId="10" fillId="0" borderId="5" xfId="0" applyFont="1" applyBorder="1"/>
    <xf numFmtId="4" fontId="10" fillId="0" borderId="6" xfId="0" applyNumberFormat="1" applyFont="1" applyBorder="1"/>
    <xf numFmtId="0" fontId="8" fillId="4" borderId="1" xfId="0" applyFont="1" applyFill="1" applyBorder="1"/>
    <xf numFmtId="0" fontId="8" fillId="4" borderId="10" xfId="0" applyFont="1" applyFill="1" applyBorder="1"/>
    <xf numFmtId="4" fontId="8" fillId="4" borderId="3" xfId="0" applyNumberFormat="1" applyFont="1" applyFill="1" applyBorder="1"/>
    <xf numFmtId="0" fontId="4" fillId="0" borderId="12" xfId="0" applyFont="1" applyBorder="1"/>
    <xf numFmtId="0" fontId="4" fillId="0" borderId="13" xfId="0" applyFont="1" applyBorder="1"/>
    <xf numFmtId="0" fontId="4" fillId="3" borderId="13" xfId="0" applyFont="1" applyFill="1" applyBorder="1" applyAlignment="1">
      <alignment horizontal="right"/>
    </xf>
    <xf numFmtId="11" fontId="4" fillId="0" borderId="9" xfId="0" applyNumberFormat="1" applyFont="1" applyBorder="1" applyAlignment="1">
      <alignment horizontal="right"/>
    </xf>
    <xf numFmtId="0" fontId="8" fillId="4" borderId="12" xfId="0" applyFont="1" applyFill="1" applyBorder="1"/>
    <xf numFmtId="2" fontId="8" fillId="4" borderId="12" xfId="0" applyNumberFormat="1" applyFont="1" applyFill="1" applyBorder="1"/>
    <xf numFmtId="0" fontId="8" fillId="4" borderId="8" xfId="0" applyFont="1" applyFill="1" applyBorder="1"/>
    <xf numFmtId="2" fontId="8" fillId="4" borderId="8" xfId="0" applyNumberFormat="1" applyFont="1" applyFill="1" applyBorder="1"/>
    <xf numFmtId="4" fontId="4" fillId="3" borderId="9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9" fillId="4" borderId="5" xfId="0" applyFont="1" applyFill="1" applyBorder="1"/>
    <xf numFmtId="0" fontId="9" fillId="4" borderId="6" xfId="0" applyFont="1" applyFill="1" applyBorder="1"/>
    <xf numFmtId="4" fontId="9" fillId="4" borderId="6" xfId="0" applyNumberFormat="1" applyFont="1" applyFill="1" applyBorder="1" applyAlignment="1">
      <alignment horizontal="right"/>
    </xf>
    <xf numFmtId="0" fontId="8" fillId="4" borderId="5" xfId="0" applyFont="1" applyFill="1" applyBorder="1"/>
    <xf numFmtId="2" fontId="8" fillId="4" borderId="5" xfId="0" applyNumberFormat="1" applyFont="1" applyFill="1" applyBorder="1"/>
    <xf numFmtId="166" fontId="10" fillId="0" borderId="10" xfId="0" applyNumberFormat="1" applyFont="1" applyBorder="1"/>
    <xf numFmtId="0" fontId="10" fillId="0" borderId="14" xfId="0" applyFont="1" applyBorder="1"/>
    <xf numFmtId="0" fontId="10" fillId="0" borderId="12" xfId="0" applyFont="1" applyBorder="1"/>
    <xf numFmtId="4" fontId="10" fillId="0" borderId="13" xfId="0" applyNumberFormat="1" applyFont="1" applyBorder="1"/>
    <xf numFmtId="0" fontId="10" fillId="0" borderId="6" xfId="0" applyFont="1" applyBorder="1"/>
    <xf numFmtId="0" fontId="10" fillId="4" borderId="1" xfId="0" applyFont="1" applyFill="1" applyBorder="1"/>
    <xf numFmtId="0" fontId="10" fillId="4" borderId="10" xfId="0" applyFont="1" applyFill="1" applyBorder="1"/>
    <xf numFmtId="10" fontId="10" fillId="4" borderId="3" xfId="0" applyNumberFormat="1" applyFont="1" applyFill="1" applyBorder="1"/>
    <xf numFmtId="167" fontId="10" fillId="0" borderId="0" xfId="0" applyNumberFormat="1" applyFont="1"/>
    <xf numFmtId="4" fontId="4" fillId="0" borderId="6" xfId="0" applyNumberFormat="1" applyFont="1" applyBorder="1" applyAlignment="1">
      <alignment horizontal="right"/>
    </xf>
    <xf numFmtId="0" fontId="9" fillId="4" borderId="10" xfId="0" applyFont="1" applyFill="1" applyBorder="1"/>
    <xf numFmtId="0" fontId="9" fillId="4" borderId="3" xfId="0" applyFont="1" applyFill="1" applyBorder="1"/>
    <xf numFmtId="10" fontId="9" fillId="4" borderId="3" xfId="0" applyNumberFormat="1" applyFont="1" applyFill="1" applyBorder="1" applyAlignment="1">
      <alignment horizontal="right"/>
    </xf>
    <xf numFmtId="0" fontId="11" fillId="0" borderId="0" xfId="0" applyFont="1"/>
    <xf numFmtId="0" fontId="13" fillId="0" borderId="10" xfId="0" applyFont="1" applyBorder="1"/>
    <xf numFmtId="0" fontId="13" fillId="0" borderId="3" xfId="0" applyFont="1" applyBorder="1" applyAlignment="1">
      <alignment wrapText="1"/>
    </xf>
    <xf numFmtId="0" fontId="13" fillId="0" borderId="6" xfId="0" applyFont="1" applyBorder="1" applyAlignment="1">
      <alignment horizontal="left" wrapText="1"/>
    </xf>
    <xf numFmtId="0" fontId="14" fillId="0" borderId="12" xfId="0" applyFont="1" applyBorder="1" applyAlignment="1">
      <alignment horizontal="right"/>
    </xf>
    <xf numFmtId="168" fontId="14" fillId="0" borderId="12" xfId="0" applyNumberFormat="1" applyFont="1" applyBorder="1" applyAlignment="1">
      <alignment horizontal="right"/>
    </xf>
    <xf numFmtId="0" fontId="14" fillId="0" borderId="0" xfId="0" applyFont="1"/>
    <xf numFmtId="0" fontId="14" fillId="0" borderId="13" xfId="0" applyFont="1" applyBorder="1" applyAlignment="1">
      <alignment horizontal="right"/>
    </xf>
    <xf numFmtId="0" fontId="14" fillId="0" borderId="8" xfId="0" applyFont="1" applyBorder="1" applyAlignment="1">
      <alignment horizontal="right"/>
    </xf>
    <xf numFmtId="168" fontId="14" fillId="0" borderId="8" xfId="0" applyNumberFormat="1" applyFont="1" applyBorder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/>
    <xf numFmtId="0" fontId="14" fillId="0" borderId="5" xfId="0" applyFont="1" applyBorder="1" applyAlignment="1">
      <alignment horizontal="right"/>
    </xf>
    <xf numFmtId="168" fontId="14" fillId="0" borderId="5" xfId="0" applyNumberFormat="1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0" fontId="8" fillId="0" borderId="6" xfId="0" applyFont="1" applyBorder="1"/>
    <xf numFmtId="4" fontId="10" fillId="0" borderId="12" xfId="0" applyNumberFormat="1" applyFont="1" applyBorder="1"/>
    <xf numFmtId="0" fontId="10" fillId="0" borderId="13" xfId="0" applyFont="1" applyBorder="1"/>
    <xf numFmtId="4" fontId="10" fillId="0" borderId="8" xfId="0" applyNumberFormat="1" applyFont="1" applyBorder="1"/>
    <xf numFmtId="4" fontId="10" fillId="0" borderId="5" xfId="0" applyNumberFormat="1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2" fillId="0" borderId="13" xfId="0" applyFont="1" applyBorder="1"/>
    <xf numFmtId="0" fontId="12" fillId="2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Slice Mosquito Hotend Heatbreak Performance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Slice Mosquito Hotend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EB97-460C-8C56-FAC9325EB497}"/>
              </c:ext>
            </c:extLst>
          </c:dPt>
          <c:cat>
            <c:numRef>
              <c:f>'Heat Break Performance'!$A$3:$A$51</c:f>
              <c:numCache>
                <c:formatCode>#,##0.00</c:formatCode>
                <c:ptCount val="49"/>
                <c:pt idx="0">
                  <c:v>0</c:v>
                </c:pt>
                <c:pt idx="1">
                  <c:v>0.64583000000000002</c:v>
                </c:pt>
                <c:pt idx="2">
                  <c:v>1.2917000000000001</c:v>
                </c:pt>
                <c:pt idx="3">
                  <c:v>1.9375</c:v>
                </c:pt>
                <c:pt idx="4">
                  <c:v>2.5833000000000004</c:v>
                </c:pt>
                <c:pt idx="5">
                  <c:v>3.2292000000000001</c:v>
                </c:pt>
                <c:pt idx="6">
                  <c:v>3.875</c:v>
                </c:pt>
                <c:pt idx="7">
                  <c:v>4.5208000000000004</c:v>
                </c:pt>
                <c:pt idx="8">
                  <c:v>5.1666999999999996</c:v>
                </c:pt>
                <c:pt idx="9">
                  <c:v>5.8125</c:v>
                </c:pt>
                <c:pt idx="10">
                  <c:v>6.4583000000000004</c:v>
                </c:pt>
                <c:pt idx="11">
                  <c:v>7.1041999999999996</c:v>
                </c:pt>
                <c:pt idx="12">
                  <c:v>7.75</c:v>
                </c:pt>
                <c:pt idx="13">
                  <c:v>8.3957999999999995</c:v>
                </c:pt>
                <c:pt idx="14">
                  <c:v>9.0417000000000005</c:v>
                </c:pt>
                <c:pt idx="15">
                  <c:v>9.6875</c:v>
                </c:pt>
                <c:pt idx="16">
                  <c:v>10.333</c:v>
                </c:pt>
                <c:pt idx="17">
                  <c:v>10.978999999999999</c:v>
                </c:pt>
                <c:pt idx="18">
                  <c:v>11.625</c:v>
                </c:pt>
                <c:pt idx="19">
                  <c:v>12.271000000000001</c:v>
                </c:pt>
                <c:pt idx="20">
                  <c:v>12.917</c:v>
                </c:pt>
                <c:pt idx="21">
                  <c:v>13.561999999999999</c:v>
                </c:pt>
                <c:pt idx="22">
                  <c:v>14.208</c:v>
                </c:pt>
                <c:pt idx="23">
                  <c:v>14.853999999999999</c:v>
                </c:pt>
                <c:pt idx="24">
                  <c:v>15.5</c:v>
                </c:pt>
                <c:pt idx="25">
                  <c:v>16.146000000000001</c:v>
                </c:pt>
                <c:pt idx="26">
                  <c:v>16.792000000000002</c:v>
                </c:pt>
                <c:pt idx="27">
                  <c:v>17.437999999999999</c:v>
                </c:pt>
                <c:pt idx="28">
                  <c:v>18.082999999999998</c:v>
                </c:pt>
                <c:pt idx="29">
                  <c:v>18.728999999999999</c:v>
                </c:pt>
                <c:pt idx="30">
                  <c:v>19.375</c:v>
                </c:pt>
                <c:pt idx="31">
                  <c:v>20.021000000000001</c:v>
                </c:pt>
                <c:pt idx="32">
                  <c:v>20.667000000000002</c:v>
                </c:pt>
                <c:pt idx="33">
                  <c:v>21.312000000000001</c:v>
                </c:pt>
                <c:pt idx="34">
                  <c:v>21.957999999999998</c:v>
                </c:pt>
                <c:pt idx="35">
                  <c:v>22.603999999999999</c:v>
                </c:pt>
                <c:pt idx="36">
                  <c:v>23.25</c:v>
                </c:pt>
                <c:pt idx="37">
                  <c:v>23.896000000000001</c:v>
                </c:pt>
                <c:pt idx="38">
                  <c:v>24.542000000000002</c:v>
                </c:pt>
                <c:pt idx="39">
                  <c:v>25.187999999999999</c:v>
                </c:pt>
                <c:pt idx="40">
                  <c:v>25.832999999999998</c:v>
                </c:pt>
                <c:pt idx="41">
                  <c:v>26.478999999999999</c:v>
                </c:pt>
                <c:pt idx="42">
                  <c:v>27.125</c:v>
                </c:pt>
                <c:pt idx="43">
                  <c:v>27.771000000000001</c:v>
                </c:pt>
                <c:pt idx="44">
                  <c:v>28.417000000000002</c:v>
                </c:pt>
                <c:pt idx="45">
                  <c:v>29.062000000000001</c:v>
                </c:pt>
                <c:pt idx="46">
                  <c:v>29.707999999999998</c:v>
                </c:pt>
                <c:pt idx="47">
                  <c:v>30.353999999999999</c:v>
                </c:pt>
                <c:pt idx="48">
                  <c:v>31</c:v>
                </c:pt>
              </c:numCache>
            </c:numRef>
          </c:cat>
          <c:val>
            <c:numRef>
              <c:f>'Heat Break Performance'!$B$3:$B$51</c:f>
              <c:numCache>
                <c:formatCode>General</c:formatCode>
                <c:ptCount val="49"/>
                <c:pt idx="0">
                  <c:v>225.81</c:v>
                </c:pt>
                <c:pt idx="1">
                  <c:v>225.69</c:v>
                </c:pt>
                <c:pt idx="2">
                  <c:v>225.58</c:v>
                </c:pt>
                <c:pt idx="3">
                  <c:v>225.45</c:v>
                </c:pt>
                <c:pt idx="4">
                  <c:v>225.31</c:v>
                </c:pt>
                <c:pt idx="5">
                  <c:v>225.15</c:v>
                </c:pt>
                <c:pt idx="6">
                  <c:v>224.88</c:v>
                </c:pt>
                <c:pt idx="7">
                  <c:v>224.2</c:v>
                </c:pt>
                <c:pt idx="8">
                  <c:v>185.92</c:v>
                </c:pt>
                <c:pt idx="9">
                  <c:v>94.741</c:v>
                </c:pt>
                <c:pt idx="10">
                  <c:v>70.286000000000001</c:v>
                </c:pt>
                <c:pt idx="11">
                  <c:v>69.22</c:v>
                </c:pt>
                <c:pt idx="12">
                  <c:v>68.313999999999993</c:v>
                </c:pt>
                <c:pt idx="13">
                  <c:v>67.447999999999993</c:v>
                </c:pt>
                <c:pt idx="14">
                  <c:v>66.590999999999994</c:v>
                </c:pt>
                <c:pt idx="15">
                  <c:v>65.748999999999995</c:v>
                </c:pt>
                <c:pt idx="16">
                  <c:v>64.902000000000001</c:v>
                </c:pt>
                <c:pt idx="17">
                  <c:v>64.063999999999993</c:v>
                </c:pt>
                <c:pt idx="18">
                  <c:v>63.219000000000001</c:v>
                </c:pt>
                <c:pt idx="19">
                  <c:v>62.415999999999997</c:v>
                </c:pt>
                <c:pt idx="20">
                  <c:v>61.682000000000002</c:v>
                </c:pt>
                <c:pt idx="21">
                  <c:v>60.957000000000001</c:v>
                </c:pt>
                <c:pt idx="22">
                  <c:v>60.219000000000001</c:v>
                </c:pt>
                <c:pt idx="23">
                  <c:v>59.484999999999999</c:v>
                </c:pt>
                <c:pt idx="24">
                  <c:v>58.738999999999997</c:v>
                </c:pt>
                <c:pt idx="25">
                  <c:v>57.997</c:v>
                </c:pt>
                <c:pt idx="26">
                  <c:v>57.363999999999997</c:v>
                </c:pt>
                <c:pt idx="27">
                  <c:v>56.783999999999999</c:v>
                </c:pt>
                <c:pt idx="28">
                  <c:v>56.213000000000001</c:v>
                </c:pt>
                <c:pt idx="29">
                  <c:v>55.713000000000001</c:v>
                </c:pt>
                <c:pt idx="30">
                  <c:v>55.252000000000002</c:v>
                </c:pt>
                <c:pt idx="31">
                  <c:v>54.83</c:v>
                </c:pt>
                <c:pt idx="32">
                  <c:v>54.451999999999998</c:v>
                </c:pt>
                <c:pt idx="33">
                  <c:v>54.12</c:v>
                </c:pt>
                <c:pt idx="34">
                  <c:v>53.834000000000003</c:v>
                </c:pt>
                <c:pt idx="35">
                  <c:v>53.593000000000004</c:v>
                </c:pt>
                <c:pt idx="36">
                  <c:v>53.393999999999998</c:v>
                </c:pt>
                <c:pt idx="37">
                  <c:v>53.231999999999999</c:v>
                </c:pt>
                <c:pt idx="38">
                  <c:v>53.104999999999997</c:v>
                </c:pt>
                <c:pt idx="39">
                  <c:v>53.009</c:v>
                </c:pt>
                <c:pt idx="40">
                  <c:v>52.938000000000002</c:v>
                </c:pt>
                <c:pt idx="41">
                  <c:v>52.884</c:v>
                </c:pt>
                <c:pt idx="42">
                  <c:v>52.832000000000001</c:v>
                </c:pt>
                <c:pt idx="43">
                  <c:v>52.786999999999999</c:v>
                </c:pt>
                <c:pt idx="44">
                  <c:v>52.750999999999998</c:v>
                </c:pt>
                <c:pt idx="45">
                  <c:v>52.722999999999999</c:v>
                </c:pt>
                <c:pt idx="46">
                  <c:v>52.703000000000003</c:v>
                </c:pt>
                <c:pt idx="47">
                  <c:v>52.69</c:v>
                </c:pt>
                <c:pt idx="48">
                  <c:v>52.685000000000002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7-460C-8C56-FAC9325EB497}"/>
            </c:ext>
          </c:extLst>
        </c:ser>
        <c:ser>
          <c:idx val="1"/>
          <c:order val="1"/>
          <c:tx>
            <c:v>Slice Mosquito Hotend (More Convection)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'Heat Break Performance'!$A$3:$A$51</c:f>
              <c:numCache>
                <c:formatCode>#,##0.00</c:formatCode>
                <c:ptCount val="49"/>
                <c:pt idx="0">
                  <c:v>0</c:v>
                </c:pt>
                <c:pt idx="1">
                  <c:v>0.64583000000000002</c:v>
                </c:pt>
                <c:pt idx="2">
                  <c:v>1.2917000000000001</c:v>
                </c:pt>
                <c:pt idx="3">
                  <c:v>1.9375</c:v>
                </c:pt>
                <c:pt idx="4">
                  <c:v>2.5833000000000004</c:v>
                </c:pt>
                <c:pt idx="5">
                  <c:v>3.2292000000000001</c:v>
                </c:pt>
                <c:pt idx="6">
                  <c:v>3.875</c:v>
                </c:pt>
                <c:pt idx="7">
                  <c:v>4.5208000000000004</c:v>
                </c:pt>
                <c:pt idx="8">
                  <c:v>5.1666999999999996</c:v>
                </c:pt>
                <c:pt idx="9">
                  <c:v>5.8125</c:v>
                </c:pt>
                <c:pt idx="10">
                  <c:v>6.4583000000000004</c:v>
                </c:pt>
                <c:pt idx="11">
                  <c:v>7.1041999999999996</c:v>
                </c:pt>
                <c:pt idx="12">
                  <c:v>7.75</c:v>
                </c:pt>
                <c:pt idx="13">
                  <c:v>8.3957999999999995</c:v>
                </c:pt>
                <c:pt idx="14">
                  <c:v>9.0417000000000005</c:v>
                </c:pt>
                <c:pt idx="15">
                  <c:v>9.6875</c:v>
                </c:pt>
                <c:pt idx="16">
                  <c:v>10.333</c:v>
                </c:pt>
                <c:pt idx="17">
                  <c:v>10.978999999999999</c:v>
                </c:pt>
                <c:pt idx="18">
                  <c:v>11.625</c:v>
                </c:pt>
                <c:pt idx="19">
                  <c:v>12.271000000000001</c:v>
                </c:pt>
                <c:pt idx="20">
                  <c:v>12.917</c:v>
                </c:pt>
                <c:pt idx="21">
                  <c:v>13.561999999999999</c:v>
                </c:pt>
                <c:pt idx="22">
                  <c:v>14.208</c:v>
                </c:pt>
                <c:pt idx="23">
                  <c:v>14.853999999999999</c:v>
                </c:pt>
                <c:pt idx="24">
                  <c:v>15.5</c:v>
                </c:pt>
                <c:pt idx="25">
                  <c:v>16.146000000000001</c:v>
                </c:pt>
                <c:pt idx="26">
                  <c:v>16.792000000000002</c:v>
                </c:pt>
                <c:pt idx="27">
                  <c:v>17.437999999999999</c:v>
                </c:pt>
                <c:pt idx="28">
                  <c:v>18.082999999999998</c:v>
                </c:pt>
                <c:pt idx="29">
                  <c:v>18.728999999999999</c:v>
                </c:pt>
                <c:pt idx="30">
                  <c:v>19.375</c:v>
                </c:pt>
                <c:pt idx="31">
                  <c:v>20.021000000000001</c:v>
                </c:pt>
                <c:pt idx="32">
                  <c:v>20.667000000000002</c:v>
                </c:pt>
                <c:pt idx="33">
                  <c:v>21.312000000000001</c:v>
                </c:pt>
                <c:pt idx="34">
                  <c:v>21.957999999999998</c:v>
                </c:pt>
                <c:pt idx="35">
                  <c:v>22.603999999999999</c:v>
                </c:pt>
                <c:pt idx="36">
                  <c:v>23.25</c:v>
                </c:pt>
                <c:pt idx="37">
                  <c:v>23.896000000000001</c:v>
                </c:pt>
                <c:pt idx="38">
                  <c:v>24.542000000000002</c:v>
                </c:pt>
                <c:pt idx="39">
                  <c:v>25.187999999999999</c:v>
                </c:pt>
                <c:pt idx="40">
                  <c:v>25.832999999999998</c:v>
                </c:pt>
                <c:pt idx="41">
                  <c:v>26.478999999999999</c:v>
                </c:pt>
                <c:pt idx="42">
                  <c:v>27.125</c:v>
                </c:pt>
                <c:pt idx="43">
                  <c:v>27.771000000000001</c:v>
                </c:pt>
                <c:pt idx="44">
                  <c:v>28.417000000000002</c:v>
                </c:pt>
                <c:pt idx="45">
                  <c:v>29.062000000000001</c:v>
                </c:pt>
                <c:pt idx="46">
                  <c:v>29.707999999999998</c:v>
                </c:pt>
                <c:pt idx="47">
                  <c:v>30.353999999999999</c:v>
                </c:pt>
                <c:pt idx="48">
                  <c:v>31</c:v>
                </c:pt>
              </c:numCache>
            </c:numRef>
          </c:cat>
          <c:val>
            <c:numRef>
              <c:f>'Heat Break Performance'!$E$4:$E$51</c:f>
              <c:numCache>
                <c:formatCode>General</c:formatCode>
                <c:ptCount val="48"/>
                <c:pt idx="0">
                  <c:v>225.63</c:v>
                </c:pt>
                <c:pt idx="1">
                  <c:v>225.51</c:v>
                </c:pt>
                <c:pt idx="2">
                  <c:v>225.39</c:v>
                </c:pt>
                <c:pt idx="3">
                  <c:v>225.25</c:v>
                </c:pt>
                <c:pt idx="4">
                  <c:v>225.08</c:v>
                </c:pt>
                <c:pt idx="5">
                  <c:v>224.81</c:v>
                </c:pt>
                <c:pt idx="6">
                  <c:v>224.13</c:v>
                </c:pt>
                <c:pt idx="7">
                  <c:v>185.86</c:v>
                </c:pt>
                <c:pt idx="8">
                  <c:v>94.716999999999999</c:v>
                </c:pt>
                <c:pt idx="9">
                  <c:v>70.27</c:v>
                </c:pt>
                <c:pt idx="10">
                  <c:v>69.204999999999998</c:v>
                </c:pt>
                <c:pt idx="11">
                  <c:v>68.299000000000007</c:v>
                </c:pt>
                <c:pt idx="12">
                  <c:v>67.433999999999997</c:v>
                </c:pt>
                <c:pt idx="13">
                  <c:v>66.576999999999998</c:v>
                </c:pt>
                <c:pt idx="14">
                  <c:v>65.734999999999999</c:v>
                </c:pt>
                <c:pt idx="15">
                  <c:v>64.888000000000005</c:v>
                </c:pt>
                <c:pt idx="16">
                  <c:v>64.051000000000002</c:v>
                </c:pt>
                <c:pt idx="17">
                  <c:v>63.204999999999998</c:v>
                </c:pt>
                <c:pt idx="18">
                  <c:v>62.402999999999999</c:v>
                </c:pt>
                <c:pt idx="19">
                  <c:v>61.67</c:v>
                </c:pt>
                <c:pt idx="20">
                  <c:v>60.945</c:v>
                </c:pt>
                <c:pt idx="21">
                  <c:v>60.207000000000001</c:v>
                </c:pt>
                <c:pt idx="22">
                  <c:v>59.472999999999999</c:v>
                </c:pt>
                <c:pt idx="23">
                  <c:v>58.726999999999997</c:v>
                </c:pt>
                <c:pt idx="24">
                  <c:v>57.984999999999999</c:v>
                </c:pt>
                <c:pt idx="25">
                  <c:v>57.353000000000002</c:v>
                </c:pt>
                <c:pt idx="26">
                  <c:v>56.773000000000003</c:v>
                </c:pt>
                <c:pt idx="27">
                  <c:v>56.201999999999998</c:v>
                </c:pt>
                <c:pt idx="28">
                  <c:v>55.701999999999998</c:v>
                </c:pt>
                <c:pt idx="29">
                  <c:v>55.241999999999997</c:v>
                </c:pt>
                <c:pt idx="30">
                  <c:v>54.819000000000003</c:v>
                </c:pt>
                <c:pt idx="31">
                  <c:v>54.442</c:v>
                </c:pt>
                <c:pt idx="32">
                  <c:v>54.11</c:v>
                </c:pt>
                <c:pt idx="33">
                  <c:v>53.823999999999998</c:v>
                </c:pt>
                <c:pt idx="34">
                  <c:v>53.582999999999998</c:v>
                </c:pt>
                <c:pt idx="35">
                  <c:v>53.384</c:v>
                </c:pt>
                <c:pt idx="36">
                  <c:v>53.222000000000001</c:v>
                </c:pt>
                <c:pt idx="37">
                  <c:v>53.094999999999999</c:v>
                </c:pt>
                <c:pt idx="38">
                  <c:v>52.999000000000002</c:v>
                </c:pt>
                <c:pt idx="39">
                  <c:v>52.929000000000002</c:v>
                </c:pt>
                <c:pt idx="40">
                  <c:v>52.875</c:v>
                </c:pt>
                <c:pt idx="41">
                  <c:v>52.822000000000003</c:v>
                </c:pt>
                <c:pt idx="42">
                  <c:v>52.777000000000001</c:v>
                </c:pt>
                <c:pt idx="43">
                  <c:v>52.741</c:v>
                </c:pt>
                <c:pt idx="44">
                  <c:v>52.713000000000001</c:v>
                </c:pt>
                <c:pt idx="45">
                  <c:v>52.692999999999998</c:v>
                </c:pt>
                <c:pt idx="46">
                  <c:v>52.680999999999997</c:v>
                </c:pt>
                <c:pt idx="47">
                  <c:v>52.676000000000002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7-460C-8C56-FAC9325EB497}"/>
            </c:ext>
          </c:extLst>
        </c:ser>
        <c:ser>
          <c:idx val="2"/>
          <c:order val="2"/>
          <c:tx>
            <c:strRef>
              <c:f>'Heat Break Performance'!$H$3</c:f>
              <c:strCache>
                <c:ptCount val="1"/>
                <c:pt idx="0">
                  <c:v>228.73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'Heat Break Performance'!$A$3:$A$51</c:f>
              <c:numCache>
                <c:formatCode>#,##0.00</c:formatCode>
                <c:ptCount val="49"/>
                <c:pt idx="0">
                  <c:v>0</c:v>
                </c:pt>
                <c:pt idx="1">
                  <c:v>0.64583000000000002</c:v>
                </c:pt>
                <c:pt idx="2">
                  <c:v>1.2917000000000001</c:v>
                </c:pt>
                <c:pt idx="3">
                  <c:v>1.9375</c:v>
                </c:pt>
                <c:pt idx="4">
                  <c:v>2.5833000000000004</c:v>
                </c:pt>
                <c:pt idx="5">
                  <c:v>3.2292000000000001</c:v>
                </c:pt>
                <c:pt idx="6">
                  <c:v>3.875</c:v>
                </c:pt>
                <c:pt idx="7">
                  <c:v>4.5208000000000004</c:v>
                </c:pt>
                <c:pt idx="8">
                  <c:v>5.1666999999999996</c:v>
                </c:pt>
                <c:pt idx="9">
                  <c:v>5.8125</c:v>
                </c:pt>
                <c:pt idx="10">
                  <c:v>6.4583000000000004</c:v>
                </c:pt>
                <c:pt idx="11">
                  <c:v>7.1041999999999996</c:v>
                </c:pt>
                <c:pt idx="12">
                  <c:v>7.75</c:v>
                </c:pt>
                <c:pt idx="13">
                  <c:v>8.3957999999999995</c:v>
                </c:pt>
                <c:pt idx="14">
                  <c:v>9.0417000000000005</c:v>
                </c:pt>
                <c:pt idx="15">
                  <c:v>9.6875</c:v>
                </c:pt>
                <c:pt idx="16">
                  <c:v>10.333</c:v>
                </c:pt>
                <c:pt idx="17">
                  <c:v>10.978999999999999</c:v>
                </c:pt>
                <c:pt idx="18">
                  <c:v>11.625</c:v>
                </c:pt>
                <c:pt idx="19">
                  <c:v>12.271000000000001</c:v>
                </c:pt>
                <c:pt idx="20">
                  <c:v>12.917</c:v>
                </c:pt>
                <c:pt idx="21">
                  <c:v>13.561999999999999</c:v>
                </c:pt>
                <c:pt idx="22">
                  <c:v>14.208</c:v>
                </c:pt>
                <c:pt idx="23">
                  <c:v>14.853999999999999</c:v>
                </c:pt>
                <c:pt idx="24">
                  <c:v>15.5</c:v>
                </c:pt>
                <c:pt idx="25">
                  <c:v>16.146000000000001</c:v>
                </c:pt>
                <c:pt idx="26">
                  <c:v>16.792000000000002</c:v>
                </c:pt>
                <c:pt idx="27">
                  <c:v>17.437999999999999</c:v>
                </c:pt>
                <c:pt idx="28">
                  <c:v>18.082999999999998</c:v>
                </c:pt>
                <c:pt idx="29">
                  <c:v>18.728999999999999</c:v>
                </c:pt>
                <c:pt idx="30">
                  <c:v>19.375</c:v>
                </c:pt>
                <c:pt idx="31">
                  <c:v>20.021000000000001</c:v>
                </c:pt>
                <c:pt idx="32">
                  <c:v>20.667000000000002</c:v>
                </c:pt>
                <c:pt idx="33">
                  <c:v>21.312000000000001</c:v>
                </c:pt>
                <c:pt idx="34">
                  <c:v>21.957999999999998</c:v>
                </c:pt>
                <c:pt idx="35">
                  <c:v>22.603999999999999</c:v>
                </c:pt>
                <c:pt idx="36">
                  <c:v>23.25</c:v>
                </c:pt>
                <c:pt idx="37">
                  <c:v>23.896000000000001</c:v>
                </c:pt>
                <c:pt idx="38">
                  <c:v>24.542000000000002</c:v>
                </c:pt>
                <c:pt idx="39">
                  <c:v>25.187999999999999</c:v>
                </c:pt>
                <c:pt idx="40">
                  <c:v>25.832999999999998</c:v>
                </c:pt>
                <c:pt idx="41">
                  <c:v>26.478999999999999</c:v>
                </c:pt>
                <c:pt idx="42">
                  <c:v>27.125</c:v>
                </c:pt>
                <c:pt idx="43">
                  <c:v>27.771000000000001</c:v>
                </c:pt>
                <c:pt idx="44">
                  <c:v>28.417000000000002</c:v>
                </c:pt>
                <c:pt idx="45">
                  <c:v>29.062000000000001</c:v>
                </c:pt>
                <c:pt idx="46">
                  <c:v>29.707999999999998</c:v>
                </c:pt>
                <c:pt idx="47">
                  <c:v>30.353999999999999</c:v>
                </c:pt>
                <c:pt idx="48">
                  <c:v>31</c:v>
                </c:pt>
              </c:numCache>
            </c:numRef>
          </c:cat>
          <c:val>
            <c:numRef>
              <c:f>'Heat Break Performance'!$H$4:$H$51</c:f>
              <c:numCache>
                <c:formatCode>General</c:formatCode>
                <c:ptCount val="48"/>
                <c:pt idx="0">
                  <c:v>228.66</c:v>
                </c:pt>
                <c:pt idx="1">
                  <c:v>228.6</c:v>
                </c:pt>
                <c:pt idx="2">
                  <c:v>228.5</c:v>
                </c:pt>
                <c:pt idx="3">
                  <c:v>228.43</c:v>
                </c:pt>
                <c:pt idx="4">
                  <c:v>228.26</c:v>
                </c:pt>
                <c:pt idx="5">
                  <c:v>228.08</c:v>
                </c:pt>
                <c:pt idx="6">
                  <c:v>227.66</c:v>
                </c:pt>
                <c:pt idx="7">
                  <c:v>225.12</c:v>
                </c:pt>
                <c:pt idx="8">
                  <c:v>146.46</c:v>
                </c:pt>
                <c:pt idx="9">
                  <c:v>88.192999999999998</c:v>
                </c:pt>
                <c:pt idx="10">
                  <c:v>87.07</c:v>
                </c:pt>
                <c:pt idx="11">
                  <c:v>85.007000000000005</c:v>
                </c:pt>
                <c:pt idx="12">
                  <c:v>83.941000000000003</c:v>
                </c:pt>
                <c:pt idx="13">
                  <c:v>82.757000000000005</c:v>
                </c:pt>
                <c:pt idx="14">
                  <c:v>81.590999999999994</c:v>
                </c:pt>
                <c:pt idx="15">
                  <c:v>80.441999999999993</c:v>
                </c:pt>
                <c:pt idx="16">
                  <c:v>79.314999999999998</c:v>
                </c:pt>
                <c:pt idx="17">
                  <c:v>78.198999999999998</c:v>
                </c:pt>
                <c:pt idx="18">
                  <c:v>77.096000000000004</c:v>
                </c:pt>
                <c:pt idx="19">
                  <c:v>76.007999999999996</c:v>
                </c:pt>
                <c:pt idx="20">
                  <c:v>74.932000000000002</c:v>
                </c:pt>
                <c:pt idx="21">
                  <c:v>73.869</c:v>
                </c:pt>
                <c:pt idx="22">
                  <c:v>72.819000000000003</c:v>
                </c:pt>
                <c:pt idx="23">
                  <c:v>71.781000000000006</c:v>
                </c:pt>
                <c:pt idx="24">
                  <c:v>70.757999999999996</c:v>
                </c:pt>
                <c:pt idx="25">
                  <c:v>69.826999999999998</c:v>
                </c:pt>
                <c:pt idx="26">
                  <c:v>69.007999999999996</c:v>
                </c:pt>
                <c:pt idx="27">
                  <c:v>68.186999999999998</c:v>
                </c:pt>
                <c:pt idx="28">
                  <c:v>67.438999999999993</c:v>
                </c:pt>
                <c:pt idx="29">
                  <c:v>66.757999999999996</c:v>
                </c:pt>
                <c:pt idx="30">
                  <c:v>66.141999999999996</c:v>
                </c:pt>
                <c:pt idx="31">
                  <c:v>65.593999999999994</c:v>
                </c:pt>
                <c:pt idx="32">
                  <c:v>65.105999999999995</c:v>
                </c:pt>
                <c:pt idx="33">
                  <c:v>64.697000000000003</c:v>
                </c:pt>
                <c:pt idx="34">
                  <c:v>64.332999999999998</c:v>
                </c:pt>
                <c:pt idx="35">
                  <c:v>64.05</c:v>
                </c:pt>
                <c:pt idx="36">
                  <c:v>63.811999999999998</c:v>
                </c:pt>
                <c:pt idx="37">
                  <c:v>63.628</c:v>
                </c:pt>
                <c:pt idx="38">
                  <c:v>63.484000000000002</c:v>
                </c:pt>
                <c:pt idx="39">
                  <c:v>63.381999999999998</c:v>
                </c:pt>
                <c:pt idx="40">
                  <c:v>63.308</c:v>
                </c:pt>
                <c:pt idx="41">
                  <c:v>63.243000000000002</c:v>
                </c:pt>
                <c:pt idx="42">
                  <c:v>63.188000000000002</c:v>
                </c:pt>
                <c:pt idx="43">
                  <c:v>63.143000000000001</c:v>
                </c:pt>
                <c:pt idx="44">
                  <c:v>63.107999999999997</c:v>
                </c:pt>
                <c:pt idx="45">
                  <c:v>63.082999999999998</c:v>
                </c:pt>
                <c:pt idx="46">
                  <c:v>63.067999999999998</c:v>
                </c:pt>
                <c:pt idx="47">
                  <c:v>63.063000000000002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97-460C-8C56-FAC9325EB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834985"/>
        <c:axId val="1323031751"/>
      </c:lineChart>
      <c:catAx>
        <c:axId val="1503834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travelled (mm)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3031751"/>
        <c:crosses val="autoZero"/>
        <c:auto val="1"/>
        <c:lblAlgn val="ctr"/>
        <c:lblOffset val="100"/>
        <c:noMultiLvlLbl val="1"/>
      </c:catAx>
      <c:valAx>
        <c:axId val="1323031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38349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Pod 3 Heatbreak Performance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'Heat Break Performance'!$G$3:$G$50</c:f>
              <c:numCache>
                <c:formatCode>#,##0.00</c:formatCode>
                <c:ptCount val="48"/>
                <c:pt idx="0">
                  <c:v>0</c:v>
                </c:pt>
                <c:pt idx="1">
                  <c:v>0.65625</c:v>
                </c:pt>
                <c:pt idx="2">
                  <c:v>1.3125</c:v>
                </c:pt>
                <c:pt idx="3">
                  <c:v>1.9688000000000001</c:v>
                </c:pt>
                <c:pt idx="4">
                  <c:v>2.625</c:v>
                </c:pt>
                <c:pt idx="5">
                  <c:v>3.2812000000000001</c:v>
                </c:pt>
                <c:pt idx="6">
                  <c:v>3.9375</c:v>
                </c:pt>
                <c:pt idx="7">
                  <c:v>4.5937999999999999</c:v>
                </c:pt>
                <c:pt idx="8">
                  <c:v>5.25</c:v>
                </c:pt>
                <c:pt idx="9">
                  <c:v>5.9062999999999999</c:v>
                </c:pt>
                <c:pt idx="10">
                  <c:v>6.5625</c:v>
                </c:pt>
                <c:pt idx="11">
                  <c:v>7.2187000000000001</c:v>
                </c:pt>
                <c:pt idx="12">
                  <c:v>7.875</c:v>
                </c:pt>
                <c:pt idx="13">
                  <c:v>8.5312999999999999</c:v>
                </c:pt>
                <c:pt idx="14">
                  <c:v>9.1875</c:v>
                </c:pt>
                <c:pt idx="15">
                  <c:v>9.8437000000000001</c:v>
                </c:pt>
                <c:pt idx="16">
                  <c:v>10.5</c:v>
                </c:pt>
                <c:pt idx="17">
                  <c:v>11.155999999999999</c:v>
                </c:pt>
                <c:pt idx="18">
                  <c:v>11.813000000000001</c:v>
                </c:pt>
                <c:pt idx="19">
                  <c:v>12.468999999999999</c:v>
                </c:pt>
                <c:pt idx="20">
                  <c:v>13.125</c:v>
                </c:pt>
                <c:pt idx="21">
                  <c:v>13.781000000000001</c:v>
                </c:pt>
                <c:pt idx="22">
                  <c:v>14.436999999999999</c:v>
                </c:pt>
                <c:pt idx="23">
                  <c:v>15.093999999999999</c:v>
                </c:pt>
                <c:pt idx="24">
                  <c:v>15.75</c:v>
                </c:pt>
                <c:pt idx="25">
                  <c:v>16.405999999999999</c:v>
                </c:pt>
                <c:pt idx="26">
                  <c:v>17.062999999999999</c:v>
                </c:pt>
                <c:pt idx="27">
                  <c:v>17.718999999999998</c:v>
                </c:pt>
                <c:pt idx="28">
                  <c:v>18.375</c:v>
                </c:pt>
                <c:pt idx="29">
                  <c:v>19.030999999999999</c:v>
                </c:pt>
                <c:pt idx="30">
                  <c:v>19.688000000000002</c:v>
                </c:pt>
                <c:pt idx="31">
                  <c:v>20.344000000000001</c:v>
                </c:pt>
                <c:pt idx="32">
                  <c:v>21</c:v>
                </c:pt>
                <c:pt idx="33">
                  <c:v>21.656000000000002</c:v>
                </c:pt>
                <c:pt idx="34">
                  <c:v>22.311999999999998</c:v>
                </c:pt>
                <c:pt idx="35">
                  <c:v>22.969000000000001</c:v>
                </c:pt>
                <c:pt idx="36">
                  <c:v>23.625</c:v>
                </c:pt>
                <c:pt idx="37">
                  <c:v>24.280999999999999</c:v>
                </c:pt>
                <c:pt idx="38">
                  <c:v>24.937999999999999</c:v>
                </c:pt>
                <c:pt idx="39">
                  <c:v>25.593999999999998</c:v>
                </c:pt>
                <c:pt idx="40">
                  <c:v>26.25</c:v>
                </c:pt>
                <c:pt idx="41">
                  <c:v>26.905999999999999</c:v>
                </c:pt>
                <c:pt idx="42">
                  <c:v>27.563000000000002</c:v>
                </c:pt>
                <c:pt idx="43">
                  <c:v>28.219000000000001</c:v>
                </c:pt>
                <c:pt idx="44">
                  <c:v>28.875</c:v>
                </c:pt>
                <c:pt idx="45">
                  <c:v>29.531000000000002</c:v>
                </c:pt>
                <c:pt idx="46">
                  <c:v>30.186999999999998</c:v>
                </c:pt>
                <c:pt idx="47">
                  <c:v>30.844000000000001</c:v>
                </c:pt>
              </c:numCache>
            </c:numRef>
          </c:cat>
          <c:val>
            <c:numRef>
              <c:f>'Heat Break Performance'!$H$3:$H$50</c:f>
              <c:numCache>
                <c:formatCode>General</c:formatCode>
                <c:ptCount val="48"/>
                <c:pt idx="0">
                  <c:v>228.73</c:v>
                </c:pt>
                <c:pt idx="1">
                  <c:v>228.66</c:v>
                </c:pt>
                <c:pt idx="2">
                  <c:v>228.6</c:v>
                </c:pt>
                <c:pt idx="3">
                  <c:v>228.5</c:v>
                </c:pt>
                <c:pt idx="4">
                  <c:v>228.43</c:v>
                </c:pt>
                <c:pt idx="5">
                  <c:v>228.26</c:v>
                </c:pt>
                <c:pt idx="6">
                  <c:v>228.08</c:v>
                </c:pt>
                <c:pt idx="7">
                  <c:v>227.66</c:v>
                </c:pt>
                <c:pt idx="8">
                  <c:v>225.12</c:v>
                </c:pt>
                <c:pt idx="9">
                  <c:v>146.46</c:v>
                </c:pt>
                <c:pt idx="10">
                  <c:v>88.192999999999998</c:v>
                </c:pt>
                <c:pt idx="11">
                  <c:v>87.07</c:v>
                </c:pt>
                <c:pt idx="12">
                  <c:v>85.007000000000005</c:v>
                </c:pt>
                <c:pt idx="13">
                  <c:v>83.941000000000003</c:v>
                </c:pt>
                <c:pt idx="14">
                  <c:v>82.757000000000005</c:v>
                </c:pt>
                <c:pt idx="15">
                  <c:v>81.590999999999994</c:v>
                </c:pt>
                <c:pt idx="16">
                  <c:v>80.441999999999993</c:v>
                </c:pt>
                <c:pt idx="17">
                  <c:v>79.314999999999998</c:v>
                </c:pt>
                <c:pt idx="18">
                  <c:v>78.198999999999998</c:v>
                </c:pt>
                <c:pt idx="19">
                  <c:v>77.096000000000004</c:v>
                </c:pt>
                <c:pt idx="20">
                  <c:v>76.007999999999996</c:v>
                </c:pt>
                <c:pt idx="21">
                  <c:v>74.932000000000002</c:v>
                </c:pt>
                <c:pt idx="22">
                  <c:v>73.869</c:v>
                </c:pt>
                <c:pt idx="23">
                  <c:v>72.819000000000003</c:v>
                </c:pt>
                <c:pt idx="24">
                  <c:v>71.781000000000006</c:v>
                </c:pt>
                <c:pt idx="25">
                  <c:v>70.757999999999996</c:v>
                </c:pt>
                <c:pt idx="26">
                  <c:v>69.826999999999998</c:v>
                </c:pt>
                <c:pt idx="27">
                  <c:v>69.007999999999996</c:v>
                </c:pt>
                <c:pt idx="28">
                  <c:v>68.186999999999998</c:v>
                </c:pt>
                <c:pt idx="29">
                  <c:v>67.438999999999993</c:v>
                </c:pt>
                <c:pt idx="30">
                  <c:v>66.757999999999996</c:v>
                </c:pt>
                <c:pt idx="31">
                  <c:v>66.141999999999996</c:v>
                </c:pt>
                <c:pt idx="32">
                  <c:v>65.593999999999994</c:v>
                </c:pt>
                <c:pt idx="33">
                  <c:v>65.105999999999995</c:v>
                </c:pt>
                <c:pt idx="34">
                  <c:v>64.697000000000003</c:v>
                </c:pt>
                <c:pt idx="35">
                  <c:v>64.332999999999998</c:v>
                </c:pt>
                <c:pt idx="36">
                  <c:v>64.05</c:v>
                </c:pt>
                <c:pt idx="37">
                  <c:v>63.811999999999998</c:v>
                </c:pt>
                <c:pt idx="38">
                  <c:v>63.628</c:v>
                </c:pt>
                <c:pt idx="39">
                  <c:v>63.484000000000002</c:v>
                </c:pt>
                <c:pt idx="40">
                  <c:v>63.381999999999998</c:v>
                </c:pt>
                <c:pt idx="41">
                  <c:v>63.308</c:v>
                </c:pt>
                <c:pt idx="42">
                  <c:v>63.243000000000002</c:v>
                </c:pt>
                <c:pt idx="43">
                  <c:v>63.188000000000002</c:v>
                </c:pt>
                <c:pt idx="44">
                  <c:v>63.143000000000001</c:v>
                </c:pt>
                <c:pt idx="45">
                  <c:v>63.107999999999997</c:v>
                </c:pt>
                <c:pt idx="46">
                  <c:v>63.082999999999998</c:v>
                </c:pt>
                <c:pt idx="47">
                  <c:v>63.067999999999998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9-43C4-80C5-6159B9333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133138"/>
        <c:axId val="1812342021"/>
      </c:lineChart>
      <c:catAx>
        <c:axId val="871133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travelled (mm)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2342021"/>
        <c:crosses val="autoZero"/>
        <c:auto val="1"/>
        <c:lblAlgn val="ctr"/>
        <c:lblOffset val="100"/>
        <c:noMultiLvlLbl val="1"/>
      </c:catAx>
      <c:valAx>
        <c:axId val="1812342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11331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1447800</xdr:colOff>
      <xdr:row>53</xdr:row>
      <xdr:rowOff>76200</xdr:rowOff>
    </xdr:from>
    <xdr:ext cx="5210175" cy="32289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371475</xdr:colOff>
      <xdr:row>52</xdr:row>
      <xdr:rowOff>85725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79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58.08984375" customWidth="1"/>
    <col min="2" max="2" width="7.26953125" customWidth="1"/>
    <col min="6" max="6" width="40.453125" customWidth="1"/>
    <col min="11" max="11" width="44.7265625" customWidth="1"/>
    <col min="15" max="15" width="42.90625" customWidth="1"/>
  </cols>
  <sheetData>
    <row r="1" spans="1:17" ht="15.75" customHeight="1" x14ac:dyDescent="0.35">
      <c r="A1" s="85" t="s">
        <v>0</v>
      </c>
      <c r="B1" s="86"/>
      <c r="C1" s="86"/>
      <c r="D1" s="87"/>
      <c r="F1" s="85" t="s">
        <v>1</v>
      </c>
      <c r="G1" s="86"/>
      <c r="H1" s="86"/>
      <c r="I1" s="87"/>
      <c r="K1" s="85" t="s">
        <v>2</v>
      </c>
      <c r="L1" s="86"/>
      <c r="M1" s="86"/>
      <c r="N1" s="86"/>
      <c r="O1" s="86"/>
      <c r="P1" s="86"/>
      <c r="Q1" s="87"/>
    </row>
    <row r="3" spans="1:17" ht="15.75" customHeight="1" x14ac:dyDescent="0.35">
      <c r="A3" s="88" t="s">
        <v>3</v>
      </c>
      <c r="B3" s="86"/>
      <c r="C3" s="87"/>
      <c r="F3" s="88" t="s">
        <v>4</v>
      </c>
      <c r="G3" s="86"/>
      <c r="H3" s="87"/>
      <c r="K3" s="88" t="s">
        <v>4</v>
      </c>
      <c r="L3" s="86"/>
      <c r="M3" s="87"/>
      <c r="O3" s="88" t="s">
        <v>5</v>
      </c>
      <c r="P3" s="86"/>
      <c r="Q3" s="87"/>
    </row>
    <row r="4" spans="1:17" ht="15.75" customHeight="1" x14ac:dyDescent="0.25">
      <c r="A4" s="1"/>
      <c r="B4" s="1"/>
      <c r="C4" s="1"/>
      <c r="F4" s="1"/>
      <c r="G4" s="1"/>
      <c r="H4" s="1"/>
      <c r="K4" s="1"/>
      <c r="L4" s="1"/>
      <c r="M4" s="1"/>
      <c r="O4" s="1"/>
      <c r="P4" s="1"/>
      <c r="Q4" s="1"/>
    </row>
    <row r="5" spans="1:17" x14ac:dyDescent="0.3">
      <c r="A5" s="2" t="s">
        <v>6</v>
      </c>
      <c r="B5" s="3" t="s">
        <v>7</v>
      </c>
      <c r="C5" s="3" t="s">
        <v>8</v>
      </c>
      <c r="F5" s="2" t="s">
        <v>6</v>
      </c>
      <c r="G5" s="3" t="s">
        <v>7</v>
      </c>
      <c r="H5" s="3" t="s">
        <v>8</v>
      </c>
      <c r="K5" s="2" t="s">
        <v>6</v>
      </c>
      <c r="L5" s="3" t="s">
        <v>7</v>
      </c>
      <c r="M5" s="3" t="s">
        <v>8</v>
      </c>
      <c r="O5" s="2" t="s">
        <v>6</v>
      </c>
      <c r="P5" s="3" t="s">
        <v>7</v>
      </c>
      <c r="Q5" s="3" t="s">
        <v>8</v>
      </c>
    </row>
    <row r="6" spans="1:17" x14ac:dyDescent="0.3">
      <c r="A6" s="89" t="s">
        <v>9</v>
      </c>
      <c r="B6" s="86"/>
      <c r="C6" s="87"/>
      <c r="F6" s="90" t="s">
        <v>10</v>
      </c>
      <c r="G6" s="91"/>
      <c r="H6" s="92"/>
      <c r="K6" s="90" t="s">
        <v>10</v>
      </c>
      <c r="L6" s="91"/>
      <c r="M6" s="92"/>
      <c r="O6" s="90" t="s">
        <v>11</v>
      </c>
      <c r="P6" s="91"/>
      <c r="Q6" s="92"/>
    </row>
    <row r="7" spans="1:17" ht="15.75" customHeight="1" x14ac:dyDescent="0.25">
      <c r="A7" s="4" t="s">
        <v>12</v>
      </c>
      <c r="B7" s="5" t="s">
        <v>13</v>
      </c>
      <c r="C7" s="6">
        <v>1300</v>
      </c>
      <c r="F7" s="4" t="s">
        <v>14</v>
      </c>
      <c r="G7" s="5" t="s">
        <v>15</v>
      </c>
      <c r="H7" s="7">
        <f>C13</f>
        <v>50</v>
      </c>
      <c r="K7" s="4" t="s">
        <v>16</v>
      </c>
      <c r="L7" s="5" t="s">
        <v>15</v>
      </c>
      <c r="M7" s="7">
        <f>C14</f>
        <v>120</v>
      </c>
      <c r="O7" s="4" t="s">
        <v>17</v>
      </c>
      <c r="P7" s="5" t="s">
        <v>18</v>
      </c>
      <c r="Q7" s="8">
        <v>42.67</v>
      </c>
    </row>
    <row r="8" spans="1:17" ht="15.75" customHeight="1" x14ac:dyDescent="0.25">
      <c r="A8" s="4" t="s">
        <v>19</v>
      </c>
      <c r="B8" s="5" t="s">
        <v>20</v>
      </c>
      <c r="C8" s="6">
        <v>93</v>
      </c>
      <c r="F8" s="4" t="s">
        <v>21</v>
      </c>
      <c r="G8" s="5" t="s">
        <v>15</v>
      </c>
      <c r="H8" s="9">
        <f t="shared" ref="H8:H10" si="0">C16</f>
        <v>2.6076999999999999</v>
      </c>
      <c r="K8" s="4" t="s">
        <v>21</v>
      </c>
      <c r="L8" s="5" t="s">
        <v>15</v>
      </c>
      <c r="M8" s="7">
        <f t="shared" ref="M8:M11" si="1">C24</f>
        <v>9.4653500000000008</v>
      </c>
      <c r="O8" s="4" t="s">
        <v>17</v>
      </c>
      <c r="P8" s="5" t="s">
        <v>22</v>
      </c>
      <c r="Q8" s="7">
        <f>Q7/10^9</f>
        <v>4.2670000000000004E-8</v>
      </c>
    </row>
    <row r="9" spans="1:17" ht="15.75" customHeight="1" x14ac:dyDescent="0.25">
      <c r="A9" s="4" t="s">
        <v>23</v>
      </c>
      <c r="B9" s="5" t="s">
        <v>24</v>
      </c>
      <c r="C9" s="6">
        <v>1800</v>
      </c>
      <c r="F9" s="4" t="s">
        <v>25</v>
      </c>
      <c r="G9" s="5" t="s">
        <v>15</v>
      </c>
      <c r="H9" s="9">
        <f t="shared" si="0"/>
        <v>3.0581</v>
      </c>
      <c r="K9" s="4" t="s">
        <v>25</v>
      </c>
      <c r="L9" s="5" t="s">
        <v>15</v>
      </c>
      <c r="M9" s="7">
        <f t="shared" si="1"/>
        <v>4.2537000000000003</v>
      </c>
      <c r="O9" s="4" t="s">
        <v>12</v>
      </c>
      <c r="P9" s="5" t="s">
        <v>13</v>
      </c>
      <c r="Q9" s="8">
        <f>M26</f>
        <v>1300</v>
      </c>
    </row>
    <row r="10" spans="1:17" x14ac:dyDescent="0.3">
      <c r="A10" s="4" t="s">
        <v>26</v>
      </c>
      <c r="B10" s="5" t="s">
        <v>27</v>
      </c>
      <c r="C10" s="6">
        <v>23</v>
      </c>
      <c r="F10" s="4" t="s">
        <v>28</v>
      </c>
      <c r="G10" s="5" t="s">
        <v>15</v>
      </c>
      <c r="H10" s="9">
        <f t="shared" si="0"/>
        <v>5.6657999999999999</v>
      </c>
      <c r="I10" s="10" t="s">
        <v>29</v>
      </c>
      <c r="K10" s="4" t="s">
        <v>30</v>
      </c>
      <c r="L10" s="5" t="s">
        <v>15</v>
      </c>
      <c r="M10" s="8">
        <f t="shared" si="1"/>
        <v>5.5509499999999985</v>
      </c>
      <c r="O10" s="11" t="s">
        <v>31</v>
      </c>
      <c r="P10" s="12" t="s">
        <v>32</v>
      </c>
      <c r="Q10" s="13">
        <f>Q9*Q8</f>
        <v>5.5471000000000005E-5</v>
      </c>
    </row>
    <row r="11" spans="1:17" x14ac:dyDescent="0.3">
      <c r="A11" s="14" t="s">
        <v>33</v>
      </c>
      <c r="B11" s="15" t="s">
        <v>27</v>
      </c>
      <c r="C11" s="16">
        <v>230</v>
      </c>
      <c r="F11" s="17" t="s">
        <v>34</v>
      </c>
      <c r="G11" s="18" t="s">
        <v>15</v>
      </c>
      <c r="H11" s="19">
        <f>H7-H10</f>
        <v>44.334200000000003</v>
      </c>
      <c r="I11" s="20">
        <f>ROUND(H7-H9-H8-H11,5)</f>
        <v>0</v>
      </c>
      <c r="K11" s="4" t="s">
        <v>28</v>
      </c>
      <c r="L11" s="5" t="s">
        <v>15</v>
      </c>
      <c r="M11" s="8">
        <f t="shared" si="1"/>
        <v>19.27</v>
      </c>
      <c r="N11" s="10" t="s">
        <v>29</v>
      </c>
      <c r="O11" s="89" t="s">
        <v>35</v>
      </c>
      <c r="P11" s="86"/>
      <c r="Q11" s="87"/>
    </row>
    <row r="12" spans="1:17" x14ac:dyDescent="0.3">
      <c r="A12" s="89" t="s">
        <v>36</v>
      </c>
      <c r="B12" s="86"/>
      <c r="C12" s="87"/>
      <c r="F12" s="1"/>
      <c r="G12" s="1"/>
      <c r="H12" s="1"/>
      <c r="K12" s="17" t="s">
        <v>34</v>
      </c>
      <c r="L12" s="18" t="s">
        <v>15</v>
      </c>
      <c r="M12" s="21">
        <f>M7-M11</f>
        <v>100.73</v>
      </c>
      <c r="N12" s="22">
        <f>ROUND(M7-M9-M8-M12-M10,5)</f>
        <v>0</v>
      </c>
      <c r="O12" s="4" t="s">
        <v>31</v>
      </c>
      <c r="P12" s="5" t="s">
        <v>32</v>
      </c>
      <c r="Q12" s="7">
        <f>Q10</f>
        <v>5.5471000000000005E-5</v>
      </c>
    </row>
    <row r="13" spans="1:17" ht="15.75" customHeight="1" x14ac:dyDescent="0.35">
      <c r="A13" s="4" t="s">
        <v>37</v>
      </c>
      <c r="B13" s="5" t="s">
        <v>15</v>
      </c>
      <c r="C13" s="6">
        <v>50</v>
      </c>
      <c r="F13" s="93" t="s">
        <v>38</v>
      </c>
      <c r="G13" s="91"/>
      <c r="H13" s="92"/>
      <c r="K13" s="1"/>
      <c r="L13" s="1"/>
      <c r="M13" s="1"/>
      <c r="O13" s="4" t="s">
        <v>39</v>
      </c>
      <c r="P13" s="5" t="s">
        <v>24</v>
      </c>
      <c r="Q13" s="7">
        <f t="shared" ref="Q13:Q16" si="2">M19</f>
        <v>1800</v>
      </c>
    </row>
    <row r="14" spans="1:17" ht="15.75" customHeight="1" x14ac:dyDescent="0.35">
      <c r="A14" s="4" t="s">
        <v>40</v>
      </c>
      <c r="B14" s="5" t="s">
        <v>15</v>
      </c>
      <c r="C14" s="6">
        <v>120</v>
      </c>
      <c r="F14" s="1"/>
      <c r="G14" s="1"/>
      <c r="H14" s="1"/>
      <c r="K14" s="93" t="s">
        <v>38</v>
      </c>
      <c r="L14" s="91"/>
      <c r="M14" s="92"/>
      <c r="O14" s="4" t="s">
        <v>41</v>
      </c>
      <c r="P14" s="5" t="s">
        <v>42</v>
      </c>
      <c r="Q14" s="7">
        <f t="shared" si="2"/>
        <v>296</v>
      </c>
    </row>
    <row r="15" spans="1:17" x14ac:dyDescent="0.3">
      <c r="A15" s="89" t="s">
        <v>43</v>
      </c>
      <c r="B15" s="86"/>
      <c r="C15" s="87"/>
      <c r="F15" s="2" t="s">
        <v>6</v>
      </c>
      <c r="G15" s="3" t="s">
        <v>7</v>
      </c>
      <c r="H15" s="3" t="s">
        <v>8</v>
      </c>
      <c r="K15" s="1"/>
      <c r="L15" s="1"/>
      <c r="M15" s="1"/>
      <c r="O15" s="4" t="s">
        <v>44</v>
      </c>
      <c r="P15" s="5" t="s">
        <v>42</v>
      </c>
      <c r="Q15" s="7">
        <f t="shared" si="2"/>
        <v>503</v>
      </c>
    </row>
    <row r="16" spans="1:17" x14ac:dyDescent="0.3">
      <c r="A16" s="4" t="s">
        <v>21</v>
      </c>
      <c r="B16" s="5" t="s">
        <v>15</v>
      </c>
      <c r="C16" s="23">
        <v>2.6076999999999999</v>
      </c>
      <c r="F16" s="90" t="s">
        <v>11</v>
      </c>
      <c r="G16" s="91"/>
      <c r="H16" s="92"/>
      <c r="K16" s="2" t="s">
        <v>6</v>
      </c>
      <c r="L16" s="3" t="s">
        <v>7</v>
      </c>
      <c r="M16" s="3" t="s">
        <v>8</v>
      </c>
      <c r="O16" s="4" t="s">
        <v>19</v>
      </c>
      <c r="P16" s="5" t="s">
        <v>45</v>
      </c>
      <c r="Q16" s="7">
        <f t="shared" si="2"/>
        <v>93000</v>
      </c>
    </row>
    <row r="17" spans="1:19" x14ac:dyDescent="0.3">
      <c r="A17" s="4" t="s">
        <v>25</v>
      </c>
      <c r="B17" s="5" t="s">
        <v>15</v>
      </c>
      <c r="C17" s="23">
        <v>3.0581</v>
      </c>
      <c r="F17" s="4" t="s">
        <v>46</v>
      </c>
      <c r="G17" s="5" t="s">
        <v>15</v>
      </c>
      <c r="H17" s="8">
        <f>H11</f>
        <v>44.334200000000003</v>
      </c>
      <c r="K17" s="90" t="s">
        <v>11</v>
      </c>
      <c r="L17" s="91"/>
      <c r="M17" s="92"/>
      <c r="O17" s="10" t="s">
        <v>47</v>
      </c>
      <c r="P17" s="10" t="s">
        <v>15</v>
      </c>
      <c r="Q17" s="24">
        <f>Q12*(Q13*(Q15-Q14)+Q16)</f>
        <v>25.827297600000001</v>
      </c>
    </row>
    <row r="18" spans="1:19" x14ac:dyDescent="0.3">
      <c r="A18" s="4" t="s">
        <v>28</v>
      </c>
      <c r="B18" s="5" t="s">
        <v>15</v>
      </c>
      <c r="C18" s="23">
        <v>5.6657999999999999</v>
      </c>
      <c r="F18" s="4" t="s">
        <v>39</v>
      </c>
      <c r="G18" s="5" t="s">
        <v>24</v>
      </c>
      <c r="H18" s="7">
        <f>C9</f>
        <v>1800</v>
      </c>
      <c r="K18" s="4" t="s">
        <v>46</v>
      </c>
      <c r="L18" s="5" t="s">
        <v>15</v>
      </c>
      <c r="M18" s="8">
        <f>M12</f>
        <v>100.73</v>
      </c>
      <c r="O18" s="89" t="s">
        <v>48</v>
      </c>
      <c r="P18" s="86"/>
      <c r="Q18" s="87"/>
    </row>
    <row r="19" spans="1:19" x14ac:dyDescent="0.3">
      <c r="A19" s="89" t="s">
        <v>49</v>
      </c>
      <c r="B19" s="86"/>
      <c r="C19" s="87"/>
      <c r="F19" s="4" t="s">
        <v>41</v>
      </c>
      <c r="G19" s="5" t="s">
        <v>42</v>
      </c>
      <c r="H19" s="7">
        <f t="shared" ref="H19:H20" si="3">C10+273</f>
        <v>296</v>
      </c>
      <c r="K19" s="4" t="s">
        <v>39</v>
      </c>
      <c r="L19" s="5" t="s">
        <v>24</v>
      </c>
      <c r="M19" s="7">
        <f>C9</f>
        <v>1800</v>
      </c>
      <c r="O19" s="25" t="s">
        <v>50</v>
      </c>
      <c r="P19" s="26" t="s">
        <v>15</v>
      </c>
      <c r="Q19" s="27">
        <f t="shared" ref="Q19:Q21" si="4">M8</f>
        <v>9.4653500000000008</v>
      </c>
    </row>
    <row r="20" spans="1:19" ht="15.75" customHeight="1" x14ac:dyDescent="0.25">
      <c r="A20" s="4" t="s">
        <v>21</v>
      </c>
      <c r="B20" s="5" t="s">
        <v>15</v>
      </c>
      <c r="C20" s="23">
        <v>2.9626000000000001</v>
      </c>
      <c r="F20" s="4" t="s">
        <v>44</v>
      </c>
      <c r="G20" s="5" t="s">
        <v>42</v>
      </c>
      <c r="H20" s="7">
        <f t="shared" si="3"/>
        <v>503</v>
      </c>
      <c r="K20" s="4" t="s">
        <v>41</v>
      </c>
      <c r="L20" s="5" t="s">
        <v>42</v>
      </c>
      <c r="M20" s="7">
        <f t="shared" ref="M20:M21" si="5">C10+273</f>
        <v>296</v>
      </c>
      <c r="O20" s="25" t="s">
        <v>51</v>
      </c>
      <c r="P20" s="26" t="s">
        <v>15</v>
      </c>
      <c r="Q20" s="27">
        <f t="shared" si="4"/>
        <v>4.2537000000000003</v>
      </c>
      <c r="S20" s="28">
        <f>Q20+Q19</f>
        <v>13.719050000000001</v>
      </c>
    </row>
    <row r="21" spans="1:19" ht="15.75" customHeight="1" x14ac:dyDescent="0.25">
      <c r="A21" s="4" t="s">
        <v>25</v>
      </c>
      <c r="B21" s="5" t="s">
        <v>15</v>
      </c>
      <c r="C21" s="23">
        <v>2.7877000000000001</v>
      </c>
      <c r="F21" s="4" t="s">
        <v>19</v>
      </c>
      <c r="G21" s="5" t="s">
        <v>45</v>
      </c>
      <c r="H21" s="7">
        <f>C8*10^3</f>
        <v>93000</v>
      </c>
      <c r="K21" s="4" t="s">
        <v>44</v>
      </c>
      <c r="L21" s="5" t="s">
        <v>42</v>
      </c>
      <c r="M21" s="7">
        <f t="shared" si="5"/>
        <v>503</v>
      </c>
      <c r="O21" s="25" t="s">
        <v>52</v>
      </c>
      <c r="P21" s="26" t="s">
        <v>15</v>
      </c>
      <c r="Q21" s="29">
        <f t="shared" si="4"/>
        <v>5.5509499999999985</v>
      </c>
    </row>
    <row r="22" spans="1:19" x14ac:dyDescent="0.3">
      <c r="A22" s="4" t="s">
        <v>28</v>
      </c>
      <c r="B22" s="5" t="s">
        <v>15</v>
      </c>
      <c r="C22" s="23">
        <v>5.7503000000000002</v>
      </c>
      <c r="F22" s="17" t="s">
        <v>31</v>
      </c>
      <c r="G22" s="18" t="s">
        <v>32</v>
      </c>
      <c r="H22" s="30">
        <f>H17/(H18*(H20-H19)+H21)</f>
        <v>9.5219501718213061E-5</v>
      </c>
      <c r="K22" s="4" t="s">
        <v>19</v>
      </c>
      <c r="L22" s="5" t="s">
        <v>45</v>
      </c>
      <c r="M22" s="7">
        <f>C8*1000</f>
        <v>93000</v>
      </c>
      <c r="O22" s="31" t="s">
        <v>53</v>
      </c>
      <c r="P22" s="32" t="s">
        <v>15</v>
      </c>
      <c r="Q22" s="33">
        <f>Q17</f>
        <v>25.827297600000001</v>
      </c>
    </row>
    <row r="23" spans="1:19" x14ac:dyDescent="0.3">
      <c r="A23" s="89" t="s">
        <v>54</v>
      </c>
      <c r="B23" s="86"/>
      <c r="C23" s="87"/>
      <c r="F23" s="90" t="s">
        <v>55</v>
      </c>
      <c r="G23" s="91"/>
      <c r="H23" s="92"/>
      <c r="K23" s="17" t="s">
        <v>31</v>
      </c>
      <c r="L23" s="18" t="s">
        <v>32</v>
      </c>
      <c r="M23" s="30">
        <f>M18/(M19*(M21-M20)+M22)</f>
        <v>2.1634450171821308E-4</v>
      </c>
      <c r="O23" s="34" t="s">
        <v>56</v>
      </c>
      <c r="P23" s="35" t="s">
        <v>15</v>
      </c>
      <c r="Q23" s="36">
        <f>Q19+Q20+Q21+Q22</f>
        <v>45.097297600000005</v>
      </c>
    </row>
    <row r="24" spans="1:19" x14ac:dyDescent="0.3">
      <c r="A24" s="37" t="s">
        <v>21</v>
      </c>
      <c r="B24" s="38" t="s">
        <v>15</v>
      </c>
      <c r="C24" s="39">
        <f>9.1942+0.27115</f>
        <v>9.4653500000000008</v>
      </c>
      <c r="F24" s="4" t="s">
        <v>31</v>
      </c>
      <c r="G24" s="5" t="s">
        <v>32</v>
      </c>
      <c r="H24" s="40">
        <f>H22</f>
        <v>9.5219501718213061E-5</v>
      </c>
      <c r="K24" s="90" t="s">
        <v>55</v>
      </c>
      <c r="L24" s="91"/>
      <c r="M24" s="92"/>
      <c r="O24" s="41" t="s">
        <v>57</v>
      </c>
      <c r="P24" s="41" t="s">
        <v>58</v>
      </c>
      <c r="Q24" s="42">
        <f>Q22/Q23</f>
        <v>0.57270166893547958</v>
      </c>
    </row>
    <row r="25" spans="1:19" x14ac:dyDescent="0.3">
      <c r="A25" s="4" t="s">
        <v>25</v>
      </c>
      <c r="B25" s="5" t="s">
        <v>15</v>
      </c>
      <c r="C25" s="6">
        <f>4.2537</f>
        <v>4.2537000000000003</v>
      </c>
      <c r="F25" s="4" t="s">
        <v>12</v>
      </c>
      <c r="G25" s="5" t="s">
        <v>13</v>
      </c>
      <c r="H25" s="7">
        <f>C7</f>
        <v>1300</v>
      </c>
      <c r="K25" s="4" t="s">
        <v>31</v>
      </c>
      <c r="L25" s="5" t="s">
        <v>32</v>
      </c>
      <c r="M25" s="40">
        <f>M23</f>
        <v>2.1634450171821308E-4</v>
      </c>
      <c r="O25" s="43" t="s">
        <v>59</v>
      </c>
      <c r="P25" s="43" t="s">
        <v>58</v>
      </c>
      <c r="Q25" s="44">
        <f>Q19/Q23</f>
        <v>0.20988729932234343</v>
      </c>
    </row>
    <row r="26" spans="1:19" x14ac:dyDescent="0.3">
      <c r="A26" s="4" t="s">
        <v>30</v>
      </c>
      <c r="B26" s="5" t="s">
        <v>15</v>
      </c>
      <c r="C26" s="45">
        <f>C27-C24-C25</f>
        <v>5.5509499999999985</v>
      </c>
      <c r="F26" s="17" t="s">
        <v>60</v>
      </c>
      <c r="G26" s="18" t="s">
        <v>22</v>
      </c>
      <c r="H26" s="30">
        <f>H24/H25</f>
        <v>7.3245770552471581E-8</v>
      </c>
      <c r="K26" s="4" t="s">
        <v>12</v>
      </c>
      <c r="L26" s="5" t="s">
        <v>13</v>
      </c>
      <c r="M26" s="7">
        <f>C7</f>
        <v>1300</v>
      </c>
      <c r="O26" s="43" t="s">
        <v>61</v>
      </c>
      <c r="P26" s="43" t="s">
        <v>58</v>
      </c>
      <c r="Q26" s="44">
        <f>Q20/Q23</f>
        <v>9.4322725005145311E-2</v>
      </c>
      <c r="R26" s="10" t="s">
        <v>29</v>
      </c>
    </row>
    <row r="27" spans="1:19" x14ac:dyDescent="0.3">
      <c r="A27" s="14" t="s">
        <v>28</v>
      </c>
      <c r="B27" s="15" t="s">
        <v>15</v>
      </c>
      <c r="C27" s="46">
        <f>9.635*2</f>
        <v>19.27</v>
      </c>
      <c r="F27" s="47" t="s">
        <v>60</v>
      </c>
      <c r="G27" s="48" t="s">
        <v>18</v>
      </c>
      <c r="H27" s="49">
        <f>H26*10^9</f>
        <v>73.245770552471583</v>
      </c>
      <c r="K27" s="17" t="s">
        <v>60</v>
      </c>
      <c r="L27" s="18" t="s">
        <v>22</v>
      </c>
      <c r="M27" s="30">
        <f>M25/M26</f>
        <v>1.6641884747554852E-7</v>
      </c>
      <c r="O27" s="50" t="s">
        <v>62</v>
      </c>
      <c r="P27" s="50" t="s">
        <v>58</v>
      </c>
      <c r="Q27" s="51">
        <f>Q21/Q23</f>
        <v>0.12308830673703158</v>
      </c>
      <c r="R27" s="52">
        <f>ROUND(1-SUM(Q24:Q27),5)</f>
        <v>0</v>
      </c>
    </row>
    <row r="28" spans="1:19" x14ac:dyDescent="0.3">
      <c r="K28" s="47" t="s">
        <v>60</v>
      </c>
      <c r="L28" s="48" t="s">
        <v>18</v>
      </c>
      <c r="M28" s="49">
        <f>M27*10^9</f>
        <v>166.41884747554852</v>
      </c>
    </row>
    <row r="29" spans="1:19" ht="15.75" customHeight="1" x14ac:dyDescent="0.35">
      <c r="F29" s="85" t="s">
        <v>63</v>
      </c>
      <c r="G29" s="86"/>
      <c r="H29" s="86"/>
      <c r="I29" s="87"/>
      <c r="K29" s="1"/>
      <c r="L29" s="1"/>
      <c r="M29" s="1"/>
      <c r="O29" s="41" t="s">
        <v>57</v>
      </c>
      <c r="P29" s="41" t="s">
        <v>58</v>
      </c>
      <c r="Q29" s="42">
        <f>Q24</f>
        <v>0.57270166893547958</v>
      </c>
    </row>
    <row r="30" spans="1:19" ht="15.75" customHeight="1" x14ac:dyDescent="0.35">
      <c r="K30" s="93" t="s">
        <v>64</v>
      </c>
      <c r="L30" s="91"/>
      <c r="M30" s="92"/>
      <c r="O30" s="43" t="s">
        <v>65</v>
      </c>
      <c r="P30" s="43" t="s">
        <v>58</v>
      </c>
      <c r="Q30" s="44">
        <f>Q25+Q26</f>
        <v>0.30421002432748873</v>
      </c>
    </row>
    <row r="31" spans="1:19" ht="15.75" customHeight="1" x14ac:dyDescent="0.35">
      <c r="F31" s="88" t="s">
        <v>4</v>
      </c>
      <c r="G31" s="86"/>
      <c r="H31" s="87"/>
      <c r="K31" s="1"/>
      <c r="L31" s="1"/>
      <c r="M31" s="1"/>
      <c r="O31" s="50" t="s">
        <v>62</v>
      </c>
      <c r="P31" s="50" t="s">
        <v>58</v>
      </c>
      <c r="Q31" s="51">
        <f>Q27</f>
        <v>0.12308830673703158</v>
      </c>
    </row>
    <row r="32" spans="1:19" ht="14" x14ac:dyDescent="0.3">
      <c r="F32" s="1"/>
      <c r="G32" s="1"/>
      <c r="H32" s="1"/>
      <c r="K32" s="2" t="s">
        <v>6</v>
      </c>
      <c r="L32" s="3" t="s">
        <v>7</v>
      </c>
      <c r="M32" s="3" t="s">
        <v>8</v>
      </c>
      <c r="O32" s="89" t="s">
        <v>66</v>
      </c>
      <c r="P32" s="86"/>
      <c r="Q32" s="87"/>
    </row>
    <row r="33" spans="1:18" ht="14" x14ac:dyDescent="0.3">
      <c r="F33" s="2" t="s">
        <v>6</v>
      </c>
      <c r="G33" s="3" t="s">
        <v>7</v>
      </c>
      <c r="H33" s="3" t="s">
        <v>8</v>
      </c>
      <c r="K33" s="90" t="s">
        <v>67</v>
      </c>
      <c r="L33" s="91"/>
      <c r="M33" s="92"/>
      <c r="O33" s="53" t="s">
        <v>68</v>
      </c>
      <c r="P33" s="54" t="s">
        <v>15</v>
      </c>
      <c r="Q33" s="55">
        <f>Q23</f>
        <v>45.097297600000005</v>
      </c>
    </row>
    <row r="34" spans="1:18" ht="14" x14ac:dyDescent="0.3">
      <c r="F34" s="90" t="s">
        <v>10</v>
      </c>
      <c r="G34" s="91"/>
      <c r="H34" s="92"/>
      <c r="K34" s="54" t="s">
        <v>69</v>
      </c>
      <c r="L34" s="38" t="s">
        <v>18</v>
      </c>
      <c r="M34" s="55">
        <f>H27</f>
        <v>73.245770552471583</v>
      </c>
      <c r="O34" s="31" t="s">
        <v>70</v>
      </c>
      <c r="P34" s="32" t="s">
        <v>15</v>
      </c>
      <c r="Q34" s="56">
        <f>C14</f>
        <v>120</v>
      </c>
    </row>
    <row r="35" spans="1:18" ht="12.5" x14ac:dyDescent="0.25">
      <c r="F35" s="4" t="s">
        <v>71</v>
      </c>
      <c r="G35" s="5" t="s">
        <v>15</v>
      </c>
      <c r="H35" s="7">
        <f>C13</f>
        <v>50</v>
      </c>
      <c r="K35" s="26" t="s">
        <v>72</v>
      </c>
      <c r="L35" s="5" t="s">
        <v>18</v>
      </c>
      <c r="M35" s="29">
        <f>M28</f>
        <v>166.41884747554852</v>
      </c>
      <c r="O35" s="57" t="s">
        <v>73</v>
      </c>
      <c r="P35" s="58" t="s">
        <v>74</v>
      </c>
      <c r="Q35" s="59">
        <f>Q33/Q34</f>
        <v>0.37581081333333338</v>
      </c>
      <c r="R35" s="60"/>
    </row>
    <row r="36" spans="1:18" ht="12.5" x14ac:dyDescent="0.25">
      <c r="F36" s="4" t="s">
        <v>21</v>
      </c>
      <c r="G36" s="5" t="s">
        <v>15</v>
      </c>
      <c r="H36" s="9">
        <f t="shared" ref="H36:H38" si="6">C20</f>
        <v>2.9626000000000001</v>
      </c>
      <c r="K36" s="14" t="s">
        <v>75</v>
      </c>
      <c r="L36" s="15" t="s">
        <v>18</v>
      </c>
      <c r="M36" s="61">
        <f>M35-M34</f>
        <v>93.173076923076934</v>
      </c>
      <c r="R36" s="60"/>
    </row>
    <row r="37" spans="1:18" ht="13" x14ac:dyDescent="0.3">
      <c r="F37" s="4" t="s">
        <v>25</v>
      </c>
      <c r="G37" s="5" t="s">
        <v>15</v>
      </c>
      <c r="H37" s="9">
        <f t="shared" si="6"/>
        <v>2.7877000000000001</v>
      </c>
      <c r="K37" s="62" t="s">
        <v>76</v>
      </c>
      <c r="L37" s="63" t="s">
        <v>74</v>
      </c>
      <c r="M37" s="64">
        <f>M36/M34</f>
        <v>1.2720608469308121</v>
      </c>
      <c r="R37" s="60"/>
    </row>
    <row r="38" spans="1:18" ht="13" x14ac:dyDescent="0.3">
      <c r="F38" s="4" t="s">
        <v>28</v>
      </c>
      <c r="G38" s="5" t="s">
        <v>15</v>
      </c>
      <c r="H38" s="9">
        <f t="shared" si="6"/>
        <v>5.7503000000000002</v>
      </c>
      <c r="I38" s="10" t="s">
        <v>29</v>
      </c>
      <c r="R38" s="60"/>
    </row>
    <row r="39" spans="1:18" ht="15.5" x14ac:dyDescent="0.35">
      <c r="F39" s="17" t="s">
        <v>34</v>
      </c>
      <c r="G39" s="18" t="s">
        <v>15</v>
      </c>
      <c r="H39" s="19">
        <f>H35-H38</f>
        <v>44.249699999999997</v>
      </c>
      <c r="I39" s="20">
        <f>H35-H37-H36-H39</f>
        <v>0</v>
      </c>
      <c r="K39" s="88" t="s">
        <v>64</v>
      </c>
      <c r="L39" s="86"/>
      <c r="M39" s="87"/>
    </row>
    <row r="40" spans="1:18" ht="12.5" x14ac:dyDescent="0.25">
      <c r="F40" s="1"/>
      <c r="G40" s="1"/>
      <c r="H40" s="1"/>
      <c r="K40" s="1"/>
      <c r="L40" s="1"/>
      <c r="M40" s="1"/>
    </row>
    <row r="41" spans="1:18" ht="15.5" x14ac:dyDescent="0.35">
      <c r="F41" s="93" t="s">
        <v>38</v>
      </c>
      <c r="G41" s="91"/>
      <c r="H41" s="92"/>
      <c r="K41" s="2" t="s">
        <v>6</v>
      </c>
      <c r="L41" s="3" t="s">
        <v>7</v>
      </c>
      <c r="M41" s="3" t="s">
        <v>8</v>
      </c>
    </row>
    <row r="42" spans="1:18" ht="14" x14ac:dyDescent="0.3">
      <c r="F42" s="1"/>
      <c r="G42" s="1"/>
      <c r="H42" s="1"/>
      <c r="K42" s="90" t="s">
        <v>67</v>
      </c>
      <c r="L42" s="91"/>
      <c r="M42" s="92"/>
    </row>
    <row r="43" spans="1:18" ht="13" x14ac:dyDescent="0.3">
      <c r="F43" s="2" t="s">
        <v>6</v>
      </c>
      <c r="G43" s="3" t="s">
        <v>7</v>
      </c>
      <c r="H43" s="3" t="s">
        <v>8</v>
      </c>
      <c r="K43" s="54" t="s">
        <v>69</v>
      </c>
      <c r="L43" s="38" t="s">
        <v>18</v>
      </c>
      <c r="M43" s="55">
        <f t="shared" ref="M43:M44" si="7">M34</f>
        <v>73.245770552471583</v>
      </c>
    </row>
    <row r="44" spans="1:18" ht="14" x14ac:dyDescent="0.3">
      <c r="F44" s="90" t="s">
        <v>11</v>
      </c>
      <c r="G44" s="91"/>
      <c r="H44" s="92"/>
      <c r="K44" s="26" t="s">
        <v>72</v>
      </c>
      <c r="L44" s="5" t="s">
        <v>18</v>
      </c>
      <c r="M44" s="29">
        <f t="shared" si="7"/>
        <v>166.41884747554852</v>
      </c>
    </row>
    <row r="45" spans="1:18" ht="14" x14ac:dyDescent="0.3">
      <c r="A45" s="65"/>
      <c r="F45" s="4" t="s">
        <v>46</v>
      </c>
      <c r="G45" s="5" t="s">
        <v>15</v>
      </c>
      <c r="H45" s="8">
        <f>H39</f>
        <v>44.249699999999997</v>
      </c>
      <c r="K45" s="62" t="s">
        <v>60</v>
      </c>
      <c r="L45" s="63" t="s">
        <v>74</v>
      </c>
      <c r="M45" s="64">
        <f>M44/M43</f>
        <v>2.2720608469308119</v>
      </c>
    </row>
    <row r="46" spans="1:18" ht="12.5" x14ac:dyDescent="0.25">
      <c r="F46" s="4" t="s">
        <v>39</v>
      </c>
      <c r="G46" s="5" t="s">
        <v>24</v>
      </c>
      <c r="H46" s="7">
        <f>C9</f>
        <v>1800</v>
      </c>
    </row>
    <row r="47" spans="1:18" ht="12.5" x14ac:dyDescent="0.25">
      <c r="F47" s="4" t="s">
        <v>41</v>
      </c>
      <c r="G47" s="5" t="s">
        <v>42</v>
      </c>
      <c r="H47" s="7">
        <f t="shared" ref="H47:H48" si="8">C10+273</f>
        <v>296</v>
      </c>
    </row>
    <row r="48" spans="1:18" ht="12.5" x14ac:dyDescent="0.25">
      <c r="F48" s="4" t="s">
        <v>44</v>
      </c>
      <c r="G48" s="5" t="s">
        <v>42</v>
      </c>
      <c r="H48" s="7">
        <f t="shared" si="8"/>
        <v>503</v>
      </c>
    </row>
    <row r="49" spans="6:12" ht="12.5" x14ac:dyDescent="0.25">
      <c r="F49" s="4" t="s">
        <v>19</v>
      </c>
      <c r="G49" s="5" t="s">
        <v>45</v>
      </c>
      <c r="H49" s="7">
        <f>C8*10^3</f>
        <v>93000</v>
      </c>
    </row>
    <row r="50" spans="6:12" ht="13" x14ac:dyDescent="0.3">
      <c r="F50" s="17" t="s">
        <v>31</v>
      </c>
      <c r="G50" s="18" t="s">
        <v>32</v>
      </c>
      <c r="H50" s="30">
        <f>H45/(H46*(H48-H47)+H49)</f>
        <v>9.5038015463917521E-5</v>
      </c>
    </row>
    <row r="51" spans="6:12" ht="14" x14ac:dyDescent="0.3">
      <c r="F51" s="90" t="s">
        <v>55</v>
      </c>
      <c r="G51" s="91"/>
      <c r="H51" s="92"/>
    </row>
    <row r="52" spans="6:12" ht="12.5" x14ac:dyDescent="0.25">
      <c r="F52" s="4" t="s">
        <v>31</v>
      </c>
      <c r="G52" s="5" t="s">
        <v>32</v>
      </c>
      <c r="H52" s="40">
        <f>H50</f>
        <v>9.5038015463917521E-5</v>
      </c>
    </row>
    <row r="53" spans="6:12" ht="12.5" x14ac:dyDescent="0.25">
      <c r="F53" s="4" t="s">
        <v>12</v>
      </c>
      <c r="G53" s="5" t="s">
        <v>13</v>
      </c>
      <c r="H53" s="7">
        <f>C7</f>
        <v>1300</v>
      </c>
    </row>
    <row r="54" spans="6:12" ht="13" x14ac:dyDescent="0.3">
      <c r="F54" s="17" t="s">
        <v>60</v>
      </c>
      <c r="G54" s="18" t="s">
        <v>22</v>
      </c>
      <c r="H54" s="30">
        <f>H52/H53</f>
        <v>7.3106165741475022E-8</v>
      </c>
    </row>
    <row r="55" spans="6:12" ht="13" x14ac:dyDescent="0.3">
      <c r="F55" s="47" t="s">
        <v>60</v>
      </c>
      <c r="G55" s="48" t="s">
        <v>18</v>
      </c>
      <c r="H55" s="49">
        <f>H54*10^9</f>
        <v>73.106165741475024</v>
      </c>
    </row>
    <row r="57" spans="6:12" ht="13" x14ac:dyDescent="0.3">
      <c r="F57" s="94" t="s">
        <v>77</v>
      </c>
      <c r="G57" s="95"/>
      <c r="K57" s="96" t="s">
        <v>78</v>
      </c>
      <c r="L57" s="87"/>
    </row>
    <row r="58" spans="6:12" ht="26" x14ac:dyDescent="0.3">
      <c r="F58" s="66" t="s">
        <v>79</v>
      </c>
      <c r="G58" s="67" t="s">
        <v>80</v>
      </c>
      <c r="K58" s="66" t="s">
        <v>79</v>
      </c>
      <c r="L58" s="68" t="s">
        <v>80</v>
      </c>
    </row>
    <row r="59" spans="6:12" ht="12.5" x14ac:dyDescent="0.25">
      <c r="F59" s="69">
        <v>0</v>
      </c>
      <c r="G59" s="70">
        <f t="shared" ref="G59:G109" si="9">(F59-$H$38)/($H$46*($H$48-$H$47)+$H$49)/$H$53*10^9</f>
        <v>-9.5002312979117107</v>
      </c>
      <c r="H59" s="71"/>
      <c r="K59" s="69">
        <v>0</v>
      </c>
      <c r="L59" s="72">
        <f t="shared" ref="L59:L179" si="10">(K59-$M$11)/($M$19*($M$21-$M$20)+$M$22)/$M$26*10^9</f>
        <v>-31.836505418979645</v>
      </c>
    </row>
    <row r="60" spans="6:12" ht="12.5" x14ac:dyDescent="0.25">
      <c r="F60" s="73">
        <v>1</v>
      </c>
      <c r="G60" s="74">
        <f t="shared" si="9"/>
        <v>-7.8481033571239749</v>
      </c>
      <c r="H60" s="71"/>
      <c r="K60" s="73">
        <v>1</v>
      </c>
      <c r="L60" s="75">
        <f t="shared" si="10"/>
        <v>-30.184377478191905</v>
      </c>
    </row>
    <row r="61" spans="6:12" ht="12.5" x14ac:dyDescent="0.25">
      <c r="F61" s="73">
        <v>2</v>
      </c>
      <c r="G61" s="74">
        <f t="shared" si="9"/>
        <v>-6.1959754163362408</v>
      </c>
      <c r="H61" s="71"/>
      <c r="K61" s="73">
        <v>2</v>
      </c>
      <c r="L61" s="75">
        <f t="shared" si="10"/>
        <v>-28.532249537404176</v>
      </c>
    </row>
    <row r="62" spans="6:12" ht="12.5" x14ac:dyDescent="0.25">
      <c r="F62" s="73">
        <v>3</v>
      </c>
      <c r="G62" s="74">
        <f t="shared" si="9"/>
        <v>-4.5438474755485068</v>
      </c>
      <c r="H62" s="71"/>
      <c r="K62" s="73">
        <v>3</v>
      </c>
      <c r="L62" s="75">
        <f t="shared" si="10"/>
        <v>-26.880121596616441</v>
      </c>
    </row>
    <row r="63" spans="6:12" ht="12.5" x14ac:dyDescent="0.25">
      <c r="F63" s="73">
        <v>4</v>
      </c>
      <c r="G63" s="74">
        <f t="shared" si="9"/>
        <v>-2.8917195347607723</v>
      </c>
      <c r="H63" s="71"/>
      <c r="K63" s="73">
        <v>4</v>
      </c>
      <c r="L63" s="75">
        <f t="shared" si="10"/>
        <v>-25.227993655828705</v>
      </c>
    </row>
    <row r="64" spans="6:12" ht="12.5" x14ac:dyDescent="0.25">
      <c r="F64" s="73">
        <v>5</v>
      </c>
      <c r="G64" s="74">
        <f t="shared" si="9"/>
        <v>-1.2395915939730375</v>
      </c>
      <c r="H64" s="71"/>
      <c r="K64" s="73">
        <v>5</v>
      </c>
      <c r="L64" s="75">
        <f t="shared" si="10"/>
        <v>-23.575865715040969</v>
      </c>
    </row>
    <row r="65" spans="6:12" ht="12.5" x14ac:dyDescent="0.25">
      <c r="F65" s="73">
        <v>6</v>
      </c>
      <c r="G65" s="74">
        <f t="shared" si="9"/>
        <v>0.41253634681469709</v>
      </c>
      <c r="H65" s="71"/>
      <c r="K65" s="73">
        <v>6</v>
      </c>
      <c r="L65" s="75">
        <f t="shared" si="10"/>
        <v>-21.923737774253237</v>
      </c>
    </row>
    <row r="66" spans="6:12" ht="12.5" x14ac:dyDescent="0.25">
      <c r="F66" s="73">
        <v>7</v>
      </c>
      <c r="G66" s="74">
        <f t="shared" si="9"/>
        <v>2.0646642876024317</v>
      </c>
      <c r="H66" s="71"/>
      <c r="K66" s="73">
        <v>7</v>
      </c>
      <c r="L66" s="75">
        <f t="shared" si="10"/>
        <v>-20.271609833465504</v>
      </c>
    </row>
    <row r="67" spans="6:12" ht="12.5" x14ac:dyDescent="0.25">
      <c r="F67" s="73">
        <v>8</v>
      </c>
      <c r="G67" s="74">
        <f t="shared" si="9"/>
        <v>3.7167922283901667</v>
      </c>
      <c r="H67" s="71"/>
      <c r="K67" s="73">
        <v>8</v>
      </c>
      <c r="L67" s="75">
        <f t="shared" si="10"/>
        <v>-18.619481892677765</v>
      </c>
    </row>
    <row r="68" spans="6:12" ht="12.5" x14ac:dyDescent="0.25">
      <c r="F68" s="73">
        <v>9</v>
      </c>
      <c r="G68" s="74">
        <f t="shared" si="9"/>
        <v>5.3689201691779003</v>
      </c>
      <c r="H68" s="71"/>
      <c r="K68" s="73">
        <v>9</v>
      </c>
      <c r="L68" s="75">
        <f t="shared" si="10"/>
        <v>-16.967353951890033</v>
      </c>
    </row>
    <row r="69" spans="6:12" ht="12.5" x14ac:dyDescent="0.25">
      <c r="F69" s="73">
        <v>10</v>
      </c>
      <c r="G69" s="74">
        <f t="shared" si="9"/>
        <v>7.0210481099656361</v>
      </c>
      <c r="H69" s="71"/>
      <c r="K69" s="73">
        <v>10</v>
      </c>
      <c r="L69" s="75">
        <f t="shared" si="10"/>
        <v>-15.3152260111023</v>
      </c>
    </row>
    <row r="70" spans="6:12" ht="12.5" x14ac:dyDescent="0.25">
      <c r="F70" s="73">
        <v>11</v>
      </c>
      <c r="G70" s="74">
        <f t="shared" si="9"/>
        <v>8.6731760507533711</v>
      </c>
      <c r="H70" s="71"/>
      <c r="K70" s="73">
        <v>11</v>
      </c>
      <c r="L70" s="75">
        <f t="shared" si="10"/>
        <v>-13.663098070314563</v>
      </c>
    </row>
    <row r="71" spans="6:12" ht="12.5" x14ac:dyDescent="0.25">
      <c r="F71" s="73">
        <v>12</v>
      </c>
      <c r="G71" s="74">
        <f t="shared" si="9"/>
        <v>10.325303991541105</v>
      </c>
      <c r="H71" s="71"/>
      <c r="K71" s="73">
        <v>12</v>
      </c>
      <c r="L71" s="75">
        <f t="shared" si="10"/>
        <v>-12.010970129526831</v>
      </c>
    </row>
    <row r="72" spans="6:12" ht="12.5" x14ac:dyDescent="0.25">
      <c r="F72" s="73">
        <v>13</v>
      </c>
      <c r="G72" s="74">
        <f t="shared" si="9"/>
        <v>11.977431932328837</v>
      </c>
      <c r="H72" s="71"/>
      <c r="K72" s="73">
        <v>13</v>
      </c>
      <c r="L72" s="75">
        <f t="shared" si="10"/>
        <v>-10.358842188739095</v>
      </c>
    </row>
    <row r="73" spans="6:12" ht="12.5" x14ac:dyDescent="0.25">
      <c r="F73" s="73">
        <v>14</v>
      </c>
      <c r="G73" s="74">
        <f t="shared" si="9"/>
        <v>13.629559873116575</v>
      </c>
      <c r="H73" s="71"/>
      <c r="K73" s="73">
        <v>14</v>
      </c>
      <c r="L73" s="75">
        <f t="shared" si="10"/>
        <v>-8.7067142479513606</v>
      </c>
    </row>
    <row r="74" spans="6:12" ht="12.5" x14ac:dyDescent="0.25">
      <c r="F74" s="73">
        <v>15</v>
      </c>
      <c r="G74" s="74">
        <f t="shared" si="9"/>
        <v>15.281687813904311</v>
      </c>
      <c r="H74" s="71"/>
      <c r="K74" s="73">
        <v>15</v>
      </c>
      <c r="L74" s="75">
        <f t="shared" si="10"/>
        <v>-7.0545863071636266</v>
      </c>
    </row>
    <row r="75" spans="6:12" ht="12.5" x14ac:dyDescent="0.25">
      <c r="F75" s="73">
        <v>16</v>
      </c>
      <c r="G75" s="74">
        <f t="shared" si="9"/>
        <v>16.933815754692045</v>
      </c>
      <c r="H75" s="71"/>
      <c r="K75" s="73">
        <v>16</v>
      </c>
      <c r="L75" s="75">
        <f t="shared" si="10"/>
        <v>-5.4024583663758916</v>
      </c>
    </row>
    <row r="76" spans="6:12" ht="12.5" x14ac:dyDescent="0.25">
      <c r="F76" s="73">
        <v>17</v>
      </c>
      <c r="G76" s="74">
        <f t="shared" si="9"/>
        <v>18.585943695479777</v>
      </c>
      <c r="H76" s="71"/>
      <c r="K76" s="73">
        <v>17</v>
      </c>
      <c r="L76" s="75">
        <f t="shared" si="10"/>
        <v>-3.7503304255881562</v>
      </c>
    </row>
    <row r="77" spans="6:12" ht="12.5" x14ac:dyDescent="0.25">
      <c r="F77" s="73">
        <v>18</v>
      </c>
      <c r="G77" s="74">
        <f t="shared" si="9"/>
        <v>20.238071636267513</v>
      </c>
      <c r="H77" s="71"/>
      <c r="K77" s="73">
        <v>18</v>
      </c>
      <c r="L77" s="75">
        <f t="shared" si="10"/>
        <v>-2.0982024848004222</v>
      </c>
    </row>
    <row r="78" spans="6:12" ht="12.5" x14ac:dyDescent="0.25">
      <c r="F78" s="73">
        <v>19</v>
      </c>
      <c r="G78" s="74">
        <f t="shared" si="9"/>
        <v>21.890199577055249</v>
      </c>
      <c r="H78" s="71"/>
      <c r="K78" s="73">
        <v>19</v>
      </c>
      <c r="L78" s="75">
        <f t="shared" si="10"/>
        <v>-0.44607454401268765</v>
      </c>
    </row>
    <row r="79" spans="6:12" ht="12.5" x14ac:dyDescent="0.25">
      <c r="F79" s="73">
        <v>20</v>
      </c>
      <c r="G79" s="74">
        <f t="shared" si="9"/>
        <v>23.542327517842981</v>
      </c>
      <c r="H79" s="71"/>
      <c r="K79" s="73">
        <v>20</v>
      </c>
      <c r="L79" s="75">
        <f t="shared" si="10"/>
        <v>1.2060533967750471</v>
      </c>
    </row>
    <row r="80" spans="6:12" ht="12.5" x14ac:dyDescent="0.25">
      <c r="F80" s="73">
        <v>21</v>
      </c>
      <c r="G80" s="74">
        <f t="shared" si="9"/>
        <v>25.194455458630721</v>
      </c>
      <c r="H80" s="71"/>
      <c r="K80" s="73">
        <v>21</v>
      </c>
      <c r="L80" s="75">
        <f t="shared" si="10"/>
        <v>2.8581813375627818</v>
      </c>
    </row>
    <row r="81" spans="6:12" ht="12.5" x14ac:dyDescent="0.25">
      <c r="F81" s="73">
        <v>22</v>
      </c>
      <c r="G81" s="74">
        <f t="shared" si="9"/>
        <v>26.846583399418449</v>
      </c>
      <c r="H81" s="71"/>
      <c r="K81" s="73">
        <v>22</v>
      </c>
      <c r="L81" s="75">
        <f t="shared" si="10"/>
        <v>4.5103092783505163</v>
      </c>
    </row>
    <row r="82" spans="6:12" ht="12.5" x14ac:dyDescent="0.25">
      <c r="F82" s="73">
        <v>23</v>
      </c>
      <c r="G82" s="74">
        <f t="shared" si="9"/>
        <v>28.498711340206189</v>
      </c>
      <c r="H82" s="71"/>
      <c r="K82" s="73">
        <v>23</v>
      </c>
      <c r="L82" s="75">
        <f t="shared" si="10"/>
        <v>6.1624372191382504</v>
      </c>
    </row>
    <row r="83" spans="6:12" ht="12.5" x14ac:dyDescent="0.25">
      <c r="F83" s="73">
        <v>24</v>
      </c>
      <c r="G83" s="74">
        <f t="shared" si="9"/>
        <v>30.150839280993917</v>
      </c>
      <c r="H83" s="71"/>
      <c r="K83" s="73">
        <v>24</v>
      </c>
      <c r="L83" s="75">
        <f t="shared" si="10"/>
        <v>7.8145651599259853</v>
      </c>
    </row>
    <row r="84" spans="6:12" ht="12.5" x14ac:dyDescent="0.25">
      <c r="F84" s="73">
        <v>25</v>
      </c>
      <c r="G84" s="74">
        <f t="shared" si="9"/>
        <v>31.802967221781657</v>
      </c>
      <c r="H84" s="71"/>
      <c r="K84" s="73">
        <v>25</v>
      </c>
      <c r="L84" s="75">
        <f t="shared" si="10"/>
        <v>9.4666931007137194</v>
      </c>
    </row>
    <row r="85" spans="6:12" ht="12.5" x14ac:dyDescent="0.25">
      <c r="F85" s="73">
        <v>26</v>
      </c>
      <c r="G85" s="74">
        <f t="shared" si="9"/>
        <v>33.455095162569393</v>
      </c>
      <c r="H85" s="71"/>
      <c r="K85" s="73">
        <v>26</v>
      </c>
      <c r="L85" s="75">
        <f t="shared" si="10"/>
        <v>11.118821041501453</v>
      </c>
    </row>
    <row r="86" spans="6:12" ht="12.5" x14ac:dyDescent="0.25">
      <c r="F86" s="73">
        <v>27</v>
      </c>
      <c r="G86" s="74">
        <f t="shared" si="9"/>
        <v>35.107223103357121</v>
      </c>
      <c r="H86" s="71"/>
      <c r="K86" s="73">
        <v>27</v>
      </c>
      <c r="L86" s="75">
        <f t="shared" si="10"/>
        <v>12.770948982289191</v>
      </c>
    </row>
    <row r="87" spans="6:12" ht="12.5" x14ac:dyDescent="0.25">
      <c r="F87" s="73">
        <v>28</v>
      </c>
      <c r="G87" s="74">
        <f t="shared" si="9"/>
        <v>36.759351044144857</v>
      </c>
      <c r="H87" s="71"/>
      <c r="K87" s="73">
        <v>28</v>
      </c>
      <c r="L87" s="75">
        <f t="shared" si="10"/>
        <v>14.423076923076923</v>
      </c>
    </row>
    <row r="88" spans="6:12" ht="12.5" x14ac:dyDescent="0.25">
      <c r="F88" s="73">
        <v>29</v>
      </c>
      <c r="G88" s="74">
        <f t="shared" si="9"/>
        <v>38.4114789849326</v>
      </c>
      <c r="H88" s="71"/>
      <c r="K88" s="73">
        <v>29</v>
      </c>
      <c r="L88" s="75">
        <f t="shared" si="10"/>
        <v>16.075204863864659</v>
      </c>
    </row>
    <row r="89" spans="6:12" ht="12.5" x14ac:dyDescent="0.25">
      <c r="F89" s="73">
        <v>30</v>
      </c>
      <c r="G89" s="74">
        <f t="shared" si="9"/>
        <v>40.063606925720322</v>
      </c>
      <c r="H89" s="71"/>
      <c r="K89" s="73">
        <v>30</v>
      </c>
      <c r="L89" s="75">
        <f t="shared" si="10"/>
        <v>17.727332804652391</v>
      </c>
    </row>
    <row r="90" spans="6:12" ht="12.5" x14ac:dyDescent="0.25">
      <c r="F90" s="73">
        <v>31</v>
      </c>
      <c r="G90" s="74">
        <f t="shared" si="9"/>
        <v>41.715734866508065</v>
      </c>
      <c r="H90" s="71"/>
      <c r="K90" s="73">
        <v>31</v>
      </c>
      <c r="L90" s="75">
        <f t="shared" si="10"/>
        <v>19.379460745440127</v>
      </c>
    </row>
    <row r="91" spans="6:12" ht="12.5" x14ac:dyDescent="0.25">
      <c r="F91" s="73">
        <v>32</v>
      </c>
      <c r="G91" s="74">
        <f t="shared" si="9"/>
        <v>43.367862807295793</v>
      </c>
      <c r="H91" s="71"/>
      <c r="K91" s="73">
        <v>32</v>
      </c>
      <c r="L91" s="75">
        <f t="shared" si="10"/>
        <v>21.031588686227863</v>
      </c>
    </row>
    <row r="92" spans="6:12" ht="12.5" x14ac:dyDescent="0.25">
      <c r="F92" s="73">
        <v>33</v>
      </c>
      <c r="G92" s="74">
        <f t="shared" si="9"/>
        <v>45.019990748083529</v>
      </c>
      <c r="H92" s="71"/>
      <c r="K92" s="73">
        <v>33</v>
      </c>
      <c r="L92" s="75">
        <f t="shared" si="10"/>
        <v>22.683716627015595</v>
      </c>
    </row>
    <row r="93" spans="6:12" ht="12.5" x14ac:dyDescent="0.25">
      <c r="F93" s="73">
        <v>34</v>
      </c>
      <c r="G93" s="74">
        <f t="shared" si="9"/>
        <v>46.672118688871272</v>
      </c>
      <c r="H93" s="71"/>
      <c r="K93" s="73">
        <v>34</v>
      </c>
      <c r="L93" s="75">
        <f t="shared" si="10"/>
        <v>24.335844567803331</v>
      </c>
    </row>
    <row r="94" spans="6:12" ht="12.5" x14ac:dyDescent="0.25">
      <c r="F94" s="73">
        <v>35</v>
      </c>
      <c r="G94" s="74">
        <f t="shared" si="9"/>
        <v>48.324246629659001</v>
      </c>
      <c r="H94" s="71"/>
      <c r="K94" s="73">
        <v>35</v>
      </c>
      <c r="L94" s="75">
        <f t="shared" si="10"/>
        <v>25.987972508591067</v>
      </c>
    </row>
    <row r="95" spans="6:12" ht="12.5" x14ac:dyDescent="0.25">
      <c r="F95" s="73">
        <v>36</v>
      </c>
      <c r="G95" s="74">
        <f t="shared" si="9"/>
        <v>49.976374570446737</v>
      </c>
      <c r="H95" s="71"/>
      <c r="K95" s="73">
        <v>36</v>
      </c>
      <c r="L95" s="75">
        <f t="shared" si="10"/>
        <v>27.640100449378803</v>
      </c>
    </row>
    <row r="96" spans="6:12" ht="12.5" x14ac:dyDescent="0.25">
      <c r="F96" s="73">
        <v>37</v>
      </c>
      <c r="G96" s="74">
        <f t="shared" si="9"/>
        <v>51.62850251123448</v>
      </c>
      <c r="H96" s="71"/>
      <c r="K96" s="73">
        <v>37</v>
      </c>
      <c r="L96" s="75">
        <f t="shared" si="10"/>
        <v>29.292228390166539</v>
      </c>
    </row>
    <row r="97" spans="6:12" ht="12.5" x14ac:dyDescent="0.25">
      <c r="F97" s="73">
        <v>38</v>
      </c>
      <c r="G97" s="74">
        <f t="shared" si="9"/>
        <v>53.280630452022201</v>
      </c>
      <c r="H97" s="71"/>
      <c r="K97" s="73">
        <v>38</v>
      </c>
      <c r="L97" s="75">
        <f t="shared" si="10"/>
        <v>30.944356330954271</v>
      </c>
    </row>
    <row r="98" spans="6:12" ht="12.5" x14ac:dyDescent="0.25">
      <c r="F98" s="73">
        <v>39</v>
      </c>
      <c r="G98" s="74">
        <f t="shared" si="9"/>
        <v>54.932758392809937</v>
      </c>
      <c r="H98" s="71"/>
      <c r="K98" s="73">
        <v>39</v>
      </c>
      <c r="L98" s="75">
        <f t="shared" si="10"/>
        <v>32.596484271742007</v>
      </c>
    </row>
    <row r="99" spans="6:12" ht="12.5" x14ac:dyDescent="0.25">
      <c r="F99" s="73">
        <v>40</v>
      </c>
      <c r="G99" s="74">
        <f t="shared" si="9"/>
        <v>56.584886333597666</v>
      </c>
      <c r="H99" s="71"/>
      <c r="K99" s="73">
        <v>40</v>
      </c>
      <c r="L99" s="75">
        <f t="shared" si="10"/>
        <v>34.248612212529736</v>
      </c>
    </row>
    <row r="100" spans="6:12" ht="12.5" x14ac:dyDescent="0.25">
      <c r="F100" s="73">
        <v>41</v>
      </c>
      <c r="G100" s="74">
        <f t="shared" si="9"/>
        <v>58.237014274385402</v>
      </c>
      <c r="H100" s="71"/>
      <c r="K100" s="73">
        <v>41</v>
      </c>
      <c r="L100" s="75">
        <f t="shared" si="10"/>
        <v>35.900740153317479</v>
      </c>
    </row>
    <row r="101" spans="6:12" ht="12.5" x14ac:dyDescent="0.25">
      <c r="F101" s="73">
        <v>42</v>
      </c>
      <c r="G101" s="74">
        <f t="shared" si="9"/>
        <v>59.889142215173145</v>
      </c>
      <c r="H101" s="71"/>
      <c r="K101" s="73">
        <v>42</v>
      </c>
      <c r="L101" s="75">
        <f t="shared" si="10"/>
        <v>37.552868094105207</v>
      </c>
    </row>
    <row r="102" spans="6:12" ht="12.5" x14ac:dyDescent="0.25">
      <c r="F102" s="73">
        <v>43</v>
      </c>
      <c r="G102" s="74">
        <f t="shared" si="9"/>
        <v>61.541270155960873</v>
      </c>
      <c r="H102" s="71"/>
      <c r="K102" s="73">
        <v>43</v>
      </c>
      <c r="L102" s="75">
        <f t="shared" si="10"/>
        <v>39.204996034892943</v>
      </c>
    </row>
    <row r="103" spans="6:12" ht="12.5" x14ac:dyDescent="0.25">
      <c r="F103" s="73">
        <v>44</v>
      </c>
      <c r="G103" s="74">
        <f t="shared" si="9"/>
        <v>63.193398096748609</v>
      </c>
      <c r="H103" s="71"/>
      <c r="K103" s="73">
        <v>44</v>
      </c>
      <c r="L103" s="75">
        <f t="shared" si="10"/>
        <v>40.857123975680679</v>
      </c>
    </row>
    <row r="104" spans="6:12" ht="12.5" x14ac:dyDescent="0.25">
      <c r="F104" s="73">
        <v>45</v>
      </c>
      <c r="G104" s="74">
        <f t="shared" si="9"/>
        <v>64.845526037536345</v>
      </c>
      <c r="H104" s="71"/>
      <c r="K104" s="73">
        <v>45</v>
      </c>
      <c r="L104" s="75">
        <f t="shared" si="10"/>
        <v>42.509251916468408</v>
      </c>
    </row>
    <row r="105" spans="6:12" ht="12.5" x14ac:dyDescent="0.25">
      <c r="F105" s="73">
        <v>46</v>
      </c>
      <c r="G105" s="74">
        <f t="shared" si="9"/>
        <v>66.497653978324081</v>
      </c>
      <c r="H105" s="71"/>
      <c r="K105" s="73">
        <v>46</v>
      </c>
      <c r="L105" s="75">
        <f t="shared" si="10"/>
        <v>44.161379857256144</v>
      </c>
    </row>
    <row r="106" spans="6:12" ht="12.5" x14ac:dyDescent="0.25">
      <c r="F106" s="73">
        <v>47</v>
      </c>
      <c r="G106" s="74">
        <f t="shared" si="9"/>
        <v>68.149781919111803</v>
      </c>
      <c r="H106" s="71"/>
      <c r="K106" s="73">
        <v>47</v>
      </c>
      <c r="L106" s="75">
        <f t="shared" si="10"/>
        <v>45.813507798043887</v>
      </c>
    </row>
    <row r="107" spans="6:12" ht="12.5" x14ac:dyDescent="0.25">
      <c r="F107" s="73">
        <v>48</v>
      </c>
      <c r="G107" s="74">
        <f t="shared" si="9"/>
        <v>69.801909859899538</v>
      </c>
      <c r="H107" s="71"/>
      <c r="K107" s="73">
        <v>48</v>
      </c>
      <c r="L107" s="75">
        <f t="shared" si="10"/>
        <v>47.465635738831615</v>
      </c>
    </row>
    <row r="108" spans="6:12" ht="14.5" x14ac:dyDescent="0.35">
      <c r="F108" s="73">
        <v>49</v>
      </c>
      <c r="G108" s="74">
        <f t="shared" si="9"/>
        <v>71.454037800687274</v>
      </c>
      <c r="H108" s="76"/>
      <c r="K108" s="73">
        <v>49</v>
      </c>
      <c r="L108" s="75">
        <f t="shared" si="10"/>
        <v>49.117763679619344</v>
      </c>
    </row>
    <row r="109" spans="6:12" ht="14.5" x14ac:dyDescent="0.35">
      <c r="F109" s="77">
        <v>50</v>
      </c>
      <c r="G109" s="78">
        <f t="shared" si="9"/>
        <v>73.106165741475024</v>
      </c>
      <c r="H109" s="76"/>
      <c r="K109" s="73">
        <v>50</v>
      </c>
      <c r="L109" s="75">
        <f t="shared" si="10"/>
        <v>50.769891620407087</v>
      </c>
    </row>
    <row r="110" spans="6:12" ht="12.5" x14ac:dyDescent="0.25">
      <c r="K110" s="73">
        <v>51</v>
      </c>
      <c r="L110" s="75">
        <f t="shared" si="10"/>
        <v>52.422019561194816</v>
      </c>
    </row>
    <row r="111" spans="6:12" ht="14.5" x14ac:dyDescent="0.35">
      <c r="H111" s="76"/>
      <c r="K111" s="73">
        <v>52</v>
      </c>
      <c r="L111" s="75">
        <f t="shared" si="10"/>
        <v>54.074147501982559</v>
      </c>
    </row>
    <row r="112" spans="6:12" ht="14.5" x14ac:dyDescent="0.35">
      <c r="H112" s="76"/>
      <c r="K112" s="73">
        <v>53</v>
      </c>
      <c r="L112" s="75">
        <f t="shared" si="10"/>
        <v>55.726275442770287</v>
      </c>
    </row>
    <row r="113" spans="8:12" ht="14.5" x14ac:dyDescent="0.35">
      <c r="H113" s="76"/>
      <c r="K113" s="73">
        <v>54</v>
      </c>
      <c r="L113" s="75">
        <f t="shared" si="10"/>
        <v>57.37840338355803</v>
      </c>
    </row>
    <row r="114" spans="8:12" ht="14.5" x14ac:dyDescent="0.35">
      <c r="H114" s="76"/>
      <c r="K114" s="73">
        <v>55</v>
      </c>
      <c r="L114" s="75">
        <f t="shared" si="10"/>
        <v>59.030531324345773</v>
      </c>
    </row>
    <row r="115" spans="8:12" ht="14.5" x14ac:dyDescent="0.35">
      <c r="H115" s="76"/>
      <c r="K115" s="73">
        <v>56</v>
      </c>
      <c r="L115" s="75">
        <f t="shared" si="10"/>
        <v>60.682659265133495</v>
      </c>
    </row>
    <row r="116" spans="8:12" ht="14.5" x14ac:dyDescent="0.35">
      <c r="H116" s="76"/>
      <c r="K116" s="73">
        <v>57</v>
      </c>
      <c r="L116" s="75">
        <f t="shared" si="10"/>
        <v>62.334787205921231</v>
      </c>
    </row>
    <row r="117" spans="8:12" ht="14.5" x14ac:dyDescent="0.35">
      <c r="H117" s="76"/>
      <c r="K117" s="73">
        <v>58</v>
      </c>
      <c r="L117" s="75">
        <f t="shared" si="10"/>
        <v>63.986915146708967</v>
      </c>
    </row>
    <row r="118" spans="8:12" ht="14.5" x14ac:dyDescent="0.35">
      <c r="H118" s="76"/>
      <c r="K118" s="73">
        <v>59</v>
      </c>
      <c r="L118" s="75">
        <f t="shared" si="10"/>
        <v>65.639043087496717</v>
      </c>
    </row>
    <row r="119" spans="8:12" ht="14.5" x14ac:dyDescent="0.35">
      <c r="H119" s="76"/>
      <c r="K119" s="73">
        <v>60</v>
      </c>
      <c r="L119" s="75">
        <f t="shared" si="10"/>
        <v>67.291171028284424</v>
      </c>
    </row>
    <row r="120" spans="8:12" ht="14.5" x14ac:dyDescent="0.35">
      <c r="H120" s="76"/>
      <c r="K120" s="73">
        <v>61</v>
      </c>
      <c r="L120" s="75">
        <f t="shared" si="10"/>
        <v>68.94329896907216</v>
      </c>
    </row>
    <row r="121" spans="8:12" ht="14.5" x14ac:dyDescent="0.35">
      <c r="H121" s="76"/>
      <c r="K121" s="73">
        <v>62</v>
      </c>
      <c r="L121" s="75">
        <f t="shared" si="10"/>
        <v>70.59542690985991</v>
      </c>
    </row>
    <row r="122" spans="8:12" ht="14.5" x14ac:dyDescent="0.35">
      <c r="H122" s="76"/>
      <c r="K122" s="73">
        <v>63</v>
      </c>
      <c r="L122" s="75">
        <f t="shared" si="10"/>
        <v>72.247554850647646</v>
      </c>
    </row>
    <row r="123" spans="8:12" ht="14.5" x14ac:dyDescent="0.35">
      <c r="H123" s="76"/>
      <c r="K123" s="73">
        <v>64</v>
      </c>
      <c r="L123" s="75">
        <f t="shared" si="10"/>
        <v>73.899682791435382</v>
      </c>
    </row>
    <row r="124" spans="8:12" ht="14.5" x14ac:dyDescent="0.35">
      <c r="H124" s="76"/>
      <c r="K124" s="73">
        <v>65</v>
      </c>
      <c r="L124" s="75">
        <f t="shared" si="10"/>
        <v>75.551810732223103</v>
      </c>
    </row>
    <row r="125" spans="8:12" ht="14.5" x14ac:dyDescent="0.35">
      <c r="H125" s="76"/>
      <c r="K125" s="73">
        <v>66</v>
      </c>
      <c r="L125" s="75">
        <f t="shared" si="10"/>
        <v>77.203938673010839</v>
      </c>
    </row>
    <row r="126" spans="8:12" ht="14.5" x14ac:dyDescent="0.35">
      <c r="H126" s="76"/>
      <c r="K126" s="73">
        <v>67</v>
      </c>
      <c r="L126" s="75">
        <f t="shared" si="10"/>
        <v>78.856066613798575</v>
      </c>
    </row>
    <row r="127" spans="8:12" ht="14.5" x14ac:dyDescent="0.35">
      <c r="H127" s="76"/>
      <c r="K127" s="73">
        <v>68</v>
      </c>
      <c r="L127" s="75">
        <f t="shared" si="10"/>
        <v>80.508194554586325</v>
      </c>
    </row>
    <row r="128" spans="8:12" ht="14.5" x14ac:dyDescent="0.35">
      <c r="H128" s="76"/>
      <c r="K128" s="73">
        <v>69</v>
      </c>
      <c r="L128" s="75">
        <f t="shared" si="10"/>
        <v>82.160322495374047</v>
      </c>
    </row>
    <row r="129" spans="8:12" ht="14.5" x14ac:dyDescent="0.35">
      <c r="H129" s="76"/>
      <c r="K129" s="73">
        <v>70</v>
      </c>
      <c r="L129" s="75">
        <f t="shared" si="10"/>
        <v>83.812450436161782</v>
      </c>
    </row>
    <row r="130" spans="8:12" ht="14.5" x14ac:dyDescent="0.35">
      <c r="H130" s="76"/>
      <c r="K130" s="73">
        <v>71</v>
      </c>
      <c r="L130" s="75">
        <f t="shared" si="10"/>
        <v>85.464578376949518</v>
      </c>
    </row>
    <row r="131" spans="8:12" ht="14.5" x14ac:dyDescent="0.35">
      <c r="H131" s="76"/>
      <c r="K131" s="73">
        <v>72</v>
      </c>
      <c r="L131" s="75">
        <f t="shared" si="10"/>
        <v>87.116706317737254</v>
      </c>
    </row>
    <row r="132" spans="8:12" ht="14.5" x14ac:dyDescent="0.35">
      <c r="H132" s="76"/>
      <c r="K132" s="73">
        <v>73</v>
      </c>
      <c r="L132" s="75">
        <f t="shared" si="10"/>
        <v>88.76883425852499</v>
      </c>
    </row>
    <row r="133" spans="8:12" ht="14.5" x14ac:dyDescent="0.35">
      <c r="H133" s="76"/>
      <c r="K133" s="73">
        <v>74</v>
      </c>
      <c r="L133" s="75">
        <f t="shared" si="10"/>
        <v>90.420962199312726</v>
      </c>
    </row>
    <row r="134" spans="8:12" ht="14.5" x14ac:dyDescent="0.35">
      <c r="H134" s="76"/>
      <c r="K134" s="73">
        <v>75</v>
      </c>
      <c r="L134" s="75">
        <f t="shared" si="10"/>
        <v>92.073090140100462</v>
      </c>
    </row>
    <row r="135" spans="8:12" ht="14.5" x14ac:dyDescent="0.35">
      <c r="H135" s="76"/>
      <c r="K135" s="73">
        <v>76</v>
      </c>
      <c r="L135" s="75">
        <f t="shared" si="10"/>
        <v>93.725218080888183</v>
      </c>
    </row>
    <row r="136" spans="8:12" ht="14.5" x14ac:dyDescent="0.35">
      <c r="H136" s="76"/>
      <c r="K136" s="73">
        <v>77</v>
      </c>
      <c r="L136" s="75">
        <f t="shared" si="10"/>
        <v>95.377346021675933</v>
      </c>
    </row>
    <row r="137" spans="8:12" ht="14.5" x14ac:dyDescent="0.35">
      <c r="H137" s="76"/>
      <c r="K137" s="73">
        <v>78</v>
      </c>
      <c r="L137" s="75">
        <f t="shared" si="10"/>
        <v>97.029473962463669</v>
      </c>
    </row>
    <row r="138" spans="8:12" ht="14.5" x14ac:dyDescent="0.35">
      <c r="H138" s="76"/>
      <c r="K138" s="73">
        <v>79</v>
      </c>
      <c r="L138" s="75">
        <f t="shared" si="10"/>
        <v>98.681601903251391</v>
      </c>
    </row>
    <row r="139" spans="8:12" ht="14.5" x14ac:dyDescent="0.35">
      <c r="H139" s="76"/>
      <c r="K139" s="73">
        <v>80</v>
      </c>
      <c r="L139" s="75">
        <f t="shared" si="10"/>
        <v>100.33372984403913</v>
      </c>
    </row>
    <row r="140" spans="8:12" ht="14.5" x14ac:dyDescent="0.35">
      <c r="H140" s="76"/>
      <c r="K140" s="73">
        <v>81</v>
      </c>
      <c r="L140" s="75">
        <f t="shared" si="10"/>
        <v>101.98585778482686</v>
      </c>
    </row>
    <row r="141" spans="8:12" ht="14.5" x14ac:dyDescent="0.35">
      <c r="H141" s="76"/>
      <c r="K141" s="73">
        <v>82</v>
      </c>
      <c r="L141" s="75">
        <f t="shared" si="10"/>
        <v>103.6379857256146</v>
      </c>
    </row>
    <row r="142" spans="8:12" ht="14.5" x14ac:dyDescent="0.35">
      <c r="H142" s="76"/>
      <c r="K142" s="73">
        <v>83</v>
      </c>
      <c r="L142" s="75">
        <f t="shared" si="10"/>
        <v>105.29011366640233</v>
      </c>
    </row>
    <row r="143" spans="8:12" ht="14.5" x14ac:dyDescent="0.35">
      <c r="H143" s="76"/>
      <c r="K143" s="73">
        <v>84</v>
      </c>
      <c r="L143" s="75">
        <f t="shared" si="10"/>
        <v>106.94224160719007</v>
      </c>
    </row>
    <row r="144" spans="8:12" ht="14.5" x14ac:dyDescent="0.35">
      <c r="H144" s="76"/>
      <c r="K144" s="73">
        <v>85</v>
      </c>
      <c r="L144" s="75">
        <f t="shared" si="10"/>
        <v>108.59436954797781</v>
      </c>
    </row>
    <row r="145" spans="8:12" ht="14.5" x14ac:dyDescent="0.35">
      <c r="H145" s="76"/>
      <c r="K145" s="73">
        <v>86</v>
      </c>
      <c r="L145" s="75">
        <f t="shared" si="10"/>
        <v>110.24649748876556</v>
      </c>
    </row>
    <row r="146" spans="8:12" ht="14.5" x14ac:dyDescent="0.35">
      <c r="H146" s="76"/>
      <c r="K146" s="73">
        <v>87</v>
      </c>
      <c r="L146" s="75">
        <f t="shared" si="10"/>
        <v>111.89862542955328</v>
      </c>
    </row>
    <row r="147" spans="8:12" ht="14.5" x14ac:dyDescent="0.35">
      <c r="H147" s="76"/>
      <c r="K147" s="73">
        <v>88</v>
      </c>
      <c r="L147" s="75">
        <f t="shared" si="10"/>
        <v>113.550753370341</v>
      </c>
    </row>
    <row r="148" spans="8:12" ht="14.5" x14ac:dyDescent="0.35">
      <c r="H148" s="76"/>
      <c r="K148" s="73">
        <v>89</v>
      </c>
      <c r="L148" s="75">
        <f t="shared" si="10"/>
        <v>115.20288131112873</v>
      </c>
    </row>
    <row r="149" spans="8:12" ht="14.5" x14ac:dyDescent="0.35">
      <c r="H149" s="76"/>
      <c r="K149" s="73">
        <v>90</v>
      </c>
      <c r="L149" s="75">
        <f t="shared" si="10"/>
        <v>116.85500925191647</v>
      </c>
    </row>
    <row r="150" spans="8:12" ht="14.5" x14ac:dyDescent="0.35">
      <c r="H150" s="76"/>
      <c r="K150" s="73">
        <v>91</v>
      </c>
      <c r="L150" s="75">
        <f t="shared" si="10"/>
        <v>118.50713719270422</v>
      </c>
    </row>
    <row r="151" spans="8:12" ht="14.5" x14ac:dyDescent="0.35">
      <c r="H151" s="76"/>
      <c r="K151" s="73">
        <v>92</v>
      </c>
      <c r="L151" s="75">
        <f t="shared" si="10"/>
        <v>120.15926513349193</v>
      </c>
    </row>
    <row r="152" spans="8:12" ht="14.5" x14ac:dyDescent="0.35">
      <c r="H152" s="76"/>
      <c r="K152" s="73">
        <v>93</v>
      </c>
      <c r="L152" s="75">
        <f t="shared" si="10"/>
        <v>121.81139307427968</v>
      </c>
    </row>
    <row r="153" spans="8:12" ht="14.5" x14ac:dyDescent="0.35">
      <c r="H153" s="76"/>
      <c r="K153" s="73">
        <v>94</v>
      </c>
      <c r="L153" s="75">
        <f t="shared" si="10"/>
        <v>123.46352101506743</v>
      </c>
    </row>
    <row r="154" spans="8:12" ht="14.5" x14ac:dyDescent="0.35">
      <c r="H154" s="76"/>
      <c r="K154" s="73">
        <v>95</v>
      </c>
      <c r="L154" s="75">
        <f t="shared" si="10"/>
        <v>125.11564895585515</v>
      </c>
    </row>
    <row r="155" spans="8:12" ht="14.5" x14ac:dyDescent="0.35">
      <c r="H155" s="76"/>
      <c r="K155" s="73">
        <v>96</v>
      </c>
      <c r="L155" s="75">
        <f t="shared" si="10"/>
        <v>126.76777689664287</v>
      </c>
    </row>
    <row r="156" spans="8:12" ht="14.5" x14ac:dyDescent="0.35">
      <c r="H156" s="76"/>
      <c r="K156" s="73">
        <v>97</v>
      </c>
      <c r="L156" s="75">
        <f t="shared" si="10"/>
        <v>128.41990483743061</v>
      </c>
    </row>
    <row r="157" spans="8:12" ht="14.5" x14ac:dyDescent="0.35">
      <c r="H157" s="76"/>
      <c r="K157" s="73">
        <v>98</v>
      </c>
      <c r="L157" s="75">
        <f t="shared" si="10"/>
        <v>130.07203277821833</v>
      </c>
    </row>
    <row r="158" spans="8:12" ht="14.5" x14ac:dyDescent="0.35">
      <c r="H158" s="76"/>
      <c r="K158" s="73">
        <v>99</v>
      </c>
      <c r="L158" s="75">
        <f t="shared" si="10"/>
        <v>131.72416071900608</v>
      </c>
    </row>
    <row r="159" spans="8:12" ht="14.5" x14ac:dyDescent="0.35">
      <c r="H159" s="76"/>
      <c r="K159" s="73">
        <v>100</v>
      </c>
      <c r="L159" s="75">
        <f t="shared" si="10"/>
        <v>133.37628865979383</v>
      </c>
    </row>
    <row r="160" spans="8:12" ht="14.5" x14ac:dyDescent="0.35">
      <c r="H160" s="76"/>
      <c r="K160" s="73">
        <v>101</v>
      </c>
      <c r="L160" s="75">
        <f t="shared" si="10"/>
        <v>135.02841660058155</v>
      </c>
    </row>
    <row r="161" spans="8:12" ht="14.5" x14ac:dyDescent="0.35">
      <c r="H161" s="76"/>
      <c r="K161" s="73">
        <v>102</v>
      </c>
      <c r="L161" s="75">
        <f t="shared" si="10"/>
        <v>136.6805445413693</v>
      </c>
    </row>
    <row r="162" spans="8:12" ht="14.5" x14ac:dyDescent="0.35">
      <c r="H162" s="76"/>
      <c r="K162" s="73">
        <v>103</v>
      </c>
      <c r="L162" s="75">
        <f t="shared" si="10"/>
        <v>138.33267248215705</v>
      </c>
    </row>
    <row r="163" spans="8:12" ht="14.5" x14ac:dyDescent="0.35">
      <c r="H163" s="76"/>
      <c r="K163" s="73">
        <v>104</v>
      </c>
      <c r="L163" s="75">
        <f t="shared" si="10"/>
        <v>139.98480042294477</v>
      </c>
    </row>
    <row r="164" spans="8:12" ht="14.5" x14ac:dyDescent="0.35">
      <c r="H164" s="76"/>
      <c r="K164" s="73">
        <v>105</v>
      </c>
      <c r="L164" s="75">
        <f t="shared" si="10"/>
        <v>141.63692836373249</v>
      </c>
    </row>
    <row r="165" spans="8:12" ht="14.5" x14ac:dyDescent="0.35">
      <c r="H165" s="76"/>
      <c r="K165" s="73">
        <v>106</v>
      </c>
      <c r="L165" s="75">
        <f t="shared" si="10"/>
        <v>143.28905630452022</v>
      </c>
    </row>
    <row r="166" spans="8:12" ht="14.5" x14ac:dyDescent="0.35">
      <c r="H166" s="76"/>
      <c r="K166" s="73">
        <v>107</v>
      </c>
      <c r="L166" s="75">
        <f t="shared" si="10"/>
        <v>144.94118424530794</v>
      </c>
    </row>
    <row r="167" spans="8:12" ht="14.5" x14ac:dyDescent="0.35">
      <c r="H167" s="76"/>
      <c r="K167" s="73">
        <v>108</v>
      </c>
      <c r="L167" s="75">
        <f t="shared" si="10"/>
        <v>146.59331218609569</v>
      </c>
    </row>
    <row r="168" spans="8:12" ht="14.5" x14ac:dyDescent="0.35">
      <c r="H168" s="76"/>
      <c r="K168" s="73">
        <v>109</v>
      </c>
      <c r="L168" s="75">
        <f t="shared" si="10"/>
        <v>148.24544012688344</v>
      </c>
    </row>
    <row r="169" spans="8:12" ht="14.5" x14ac:dyDescent="0.35">
      <c r="H169" s="76"/>
      <c r="K169" s="73">
        <v>110</v>
      </c>
      <c r="L169" s="75">
        <f t="shared" si="10"/>
        <v>149.89756806767116</v>
      </c>
    </row>
    <row r="170" spans="8:12" ht="14.5" x14ac:dyDescent="0.35">
      <c r="H170" s="76"/>
      <c r="K170" s="73">
        <v>111</v>
      </c>
      <c r="L170" s="75">
        <f t="shared" si="10"/>
        <v>151.54969600845891</v>
      </c>
    </row>
    <row r="171" spans="8:12" ht="14.5" x14ac:dyDescent="0.35">
      <c r="H171" s="76"/>
      <c r="K171" s="73">
        <v>112</v>
      </c>
      <c r="L171" s="75">
        <f t="shared" si="10"/>
        <v>153.20182394924666</v>
      </c>
    </row>
    <row r="172" spans="8:12" ht="14.5" x14ac:dyDescent="0.35">
      <c r="H172" s="76"/>
      <c r="K172" s="73">
        <v>113</v>
      </c>
      <c r="L172" s="75">
        <f t="shared" si="10"/>
        <v>154.85395189003438</v>
      </c>
    </row>
    <row r="173" spans="8:12" ht="14.5" x14ac:dyDescent="0.35">
      <c r="H173" s="76"/>
      <c r="K173" s="73">
        <v>114</v>
      </c>
      <c r="L173" s="75">
        <f t="shared" si="10"/>
        <v>156.5060798308221</v>
      </c>
    </row>
    <row r="174" spans="8:12" ht="14.5" x14ac:dyDescent="0.35">
      <c r="H174" s="76"/>
      <c r="K174" s="73">
        <v>115</v>
      </c>
      <c r="L174" s="75">
        <f t="shared" si="10"/>
        <v>158.15820777160985</v>
      </c>
    </row>
    <row r="175" spans="8:12" ht="14.5" x14ac:dyDescent="0.35">
      <c r="H175" s="76"/>
      <c r="K175" s="73">
        <v>116</v>
      </c>
      <c r="L175" s="75">
        <f t="shared" si="10"/>
        <v>159.81033571239757</v>
      </c>
    </row>
    <row r="176" spans="8:12" ht="14.5" x14ac:dyDescent="0.35">
      <c r="H176" s="76"/>
      <c r="K176" s="73">
        <v>117</v>
      </c>
      <c r="L176" s="75">
        <f t="shared" si="10"/>
        <v>161.4624636531853</v>
      </c>
    </row>
    <row r="177" spans="8:12" ht="14.5" x14ac:dyDescent="0.35">
      <c r="H177" s="76"/>
      <c r="K177" s="73">
        <v>118</v>
      </c>
      <c r="L177" s="75">
        <f t="shared" si="10"/>
        <v>163.11459159397305</v>
      </c>
    </row>
    <row r="178" spans="8:12" ht="14.5" x14ac:dyDescent="0.35">
      <c r="H178" s="76"/>
      <c r="K178" s="73">
        <v>119</v>
      </c>
      <c r="L178" s="75">
        <f t="shared" si="10"/>
        <v>164.76671953476077</v>
      </c>
    </row>
    <row r="179" spans="8:12" ht="14.5" x14ac:dyDescent="0.35">
      <c r="H179" s="76"/>
      <c r="K179" s="77">
        <v>120</v>
      </c>
      <c r="L179" s="79">
        <f t="shared" si="10"/>
        <v>166.41884747554852</v>
      </c>
    </row>
  </sheetData>
  <mergeCells count="36">
    <mergeCell ref="F57:G57"/>
    <mergeCell ref="K57:L57"/>
    <mergeCell ref="F23:H23"/>
    <mergeCell ref="K24:M24"/>
    <mergeCell ref="F29:I29"/>
    <mergeCell ref="K30:M30"/>
    <mergeCell ref="F31:H31"/>
    <mergeCell ref="F34:H34"/>
    <mergeCell ref="K39:M39"/>
    <mergeCell ref="F41:H41"/>
    <mergeCell ref="K42:M42"/>
    <mergeCell ref="F44:H44"/>
    <mergeCell ref="F51:H51"/>
    <mergeCell ref="K17:M17"/>
    <mergeCell ref="O18:Q18"/>
    <mergeCell ref="A19:C19"/>
    <mergeCell ref="A23:C23"/>
    <mergeCell ref="K33:M33"/>
    <mergeCell ref="O32:Q32"/>
    <mergeCell ref="F13:H13"/>
    <mergeCell ref="K14:M14"/>
    <mergeCell ref="A12:C12"/>
    <mergeCell ref="A15:C15"/>
    <mergeCell ref="F16:H16"/>
    <mergeCell ref="A6:C6"/>
    <mergeCell ref="F6:H6"/>
    <mergeCell ref="K6:M6"/>
    <mergeCell ref="O6:Q6"/>
    <mergeCell ref="O11:Q11"/>
    <mergeCell ref="A1:D1"/>
    <mergeCell ref="F1:I1"/>
    <mergeCell ref="K1:Q1"/>
    <mergeCell ref="A3:C3"/>
    <mergeCell ref="F3:H3"/>
    <mergeCell ref="K3:M3"/>
    <mergeCell ref="O3:Q3"/>
  </mergeCells>
  <conditionalFormatting sqref="D11 I11 N12 I39">
    <cfRule type="cellIs" dxfId="4" priority="1" operator="greaterThan">
      <formula>0</formula>
    </cfRule>
    <cfRule type="cellIs" dxfId="3" priority="2" operator="lessThan">
      <formula>0</formula>
    </cfRule>
    <cfRule type="notContainsBlanks" dxfId="2" priority="3">
      <formula>LEN(TRIM(D11))&gt;0</formula>
    </cfRule>
  </conditionalFormatting>
  <conditionalFormatting sqref="R27">
    <cfRule type="cellIs" dxfId="1" priority="4" operator="equal">
      <formula>0</formula>
    </cfRule>
    <cfRule type="cellIs" dxfId="0" priority="5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1"/>
  <sheetViews>
    <sheetView workbookViewId="0"/>
  </sheetViews>
  <sheetFormatPr defaultColWidth="12.6328125" defaultRowHeight="15.75" customHeight="1" x14ac:dyDescent="0.25"/>
  <cols>
    <col min="1" max="1" width="19.7265625" customWidth="1"/>
    <col min="2" max="2" width="14.36328125" customWidth="1"/>
    <col min="4" max="4" width="19.7265625" customWidth="1"/>
    <col min="5" max="5" width="14.36328125" customWidth="1"/>
    <col min="7" max="7" width="19.7265625" customWidth="1"/>
    <col min="8" max="8" width="14.36328125" customWidth="1"/>
  </cols>
  <sheetData>
    <row r="1" spans="1:8" x14ac:dyDescent="0.3">
      <c r="A1" s="97" t="s">
        <v>77</v>
      </c>
      <c r="B1" s="87"/>
      <c r="D1" s="97" t="s">
        <v>81</v>
      </c>
      <c r="E1" s="87"/>
      <c r="G1" s="97" t="s">
        <v>78</v>
      </c>
      <c r="H1" s="87"/>
    </row>
    <row r="2" spans="1:8" x14ac:dyDescent="0.3">
      <c r="A2" s="10" t="s">
        <v>82</v>
      </c>
      <c r="B2" s="80" t="s">
        <v>83</v>
      </c>
      <c r="D2" s="10" t="s">
        <v>82</v>
      </c>
      <c r="E2" s="80" t="s">
        <v>83</v>
      </c>
      <c r="G2" s="10" t="s">
        <v>82</v>
      </c>
      <c r="H2" s="80" t="s">
        <v>83</v>
      </c>
    </row>
    <row r="3" spans="1:8" ht="15.75" customHeight="1" x14ac:dyDescent="0.25">
      <c r="A3" s="81">
        <v>0</v>
      </c>
      <c r="B3" s="82">
        <v>225.81</v>
      </c>
      <c r="D3" s="81">
        <v>0</v>
      </c>
      <c r="E3" s="82">
        <v>225.74</v>
      </c>
      <c r="G3" s="81">
        <v>0</v>
      </c>
      <c r="H3" s="82">
        <v>228.73</v>
      </c>
    </row>
    <row r="4" spans="1:8" ht="15.75" customHeight="1" x14ac:dyDescent="0.25">
      <c r="A4" s="83">
        <v>0.64583000000000002</v>
      </c>
      <c r="B4" s="27">
        <v>225.69</v>
      </c>
      <c r="D4" s="83">
        <v>0.64583000000000002</v>
      </c>
      <c r="E4" s="27">
        <v>225.63</v>
      </c>
      <c r="G4" s="83">
        <v>0.65625</v>
      </c>
      <c r="H4" s="27">
        <v>228.66</v>
      </c>
    </row>
    <row r="5" spans="1:8" ht="15.75" customHeight="1" x14ac:dyDescent="0.25">
      <c r="A5" s="83">
        <v>1.2917000000000001</v>
      </c>
      <c r="B5" s="27">
        <v>225.58</v>
      </c>
      <c r="D5" s="83">
        <v>1.2917000000000001</v>
      </c>
      <c r="E5" s="27">
        <v>225.51</v>
      </c>
      <c r="G5" s="83">
        <v>1.3125</v>
      </c>
      <c r="H5" s="27">
        <v>228.6</v>
      </c>
    </row>
    <row r="6" spans="1:8" ht="15.75" customHeight="1" x14ac:dyDescent="0.25">
      <c r="A6" s="83">
        <v>1.9375</v>
      </c>
      <c r="B6" s="27">
        <v>225.45</v>
      </c>
      <c r="D6" s="83">
        <v>1.9375</v>
      </c>
      <c r="E6" s="27">
        <v>225.39</v>
      </c>
      <c r="G6" s="83">
        <v>1.9688000000000001</v>
      </c>
      <c r="H6" s="27">
        <v>228.5</v>
      </c>
    </row>
    <row r="7" spans="1:8" ht="15.75" customHeight="1" x14ac:dyDescent="0.25">
      <c r="A7" s="83">
        <v>2.5833000000000004</v>
      </c>
      <c r="B7" s="27">
        <v>225.31</v>
      </c>
      <c r="D7" s="83">
        <v>2.5833000000000004</v>
      </c>
      <c r="E7" s="27">
        <v>225.25</v>
      </c>
      <c r="G7" s="83">
        <v>2.625</v>
      </c>
      <c r="H7" s="27">
        <v>228.43</v>
      </c>
    </row>
    <row r="8" spans="1:8" ht="15.75" customHeight="1" x14ac:dyDescent="0.25">
      <c r="A8" s="83">
        <v>3.2292000000000001</v>
      </c>
      <c r="B8" s="27">
        <v>225.15</v>
      </c>
      <c r="D8" s="83">
        <v>3.2292000000000001</v>
      </c>
      <c r="E8" s="27">
        <v>225.08</v>
      </c>
      <c r="G8" s="83">
        <v>3.2812000000000001</v>
      </c>
      <c r="H8" s="27">
        <v>228.26</v>
      </c>
    </row>
    <row r="9" spans="1:8" ht="15.75" customHeight="1" x14ac:dyDescent="0.25">
      <c r="A9" s="83">
        <v>3.875</v>
      </c>
      <c r="B9" s="27">
        <v>224.88</v>
      </c>
      <c r="D9" s="83">
        <v>3.875</v>
      </c>
      <c r="E9" s="27">
        <v>224.81</v>
      </c>
      <c r="G9" s="83">
        <v>3.9375</v>
      </c>
      <c r="H9" s="27">
        <v>228.08</v>
      </c>
    </row>
    <row r="10" spans="1:8" ht="15.75" customHeight="1" x14ac:dyDescent="0.25">
      <c r="A10" s="83">
        <v>4.5208000000000004</v>
      </c>
      <c r="B10" s="27">
        <v>224.2</v>
      </c>
      <c r="D10" s="83">
        <v>4.5208000000000004</v>
      </c>
      <c r="E10" s="27">
        <v>224.13</v>
      </c>
      <c r="G10" s="83">
        <v>4.5937999999999999</v>
      </c>
      <c r="H10" s="27">
        <v>227.66</v>
      </c>
    </row>
    <row r="11" spans="1:8" ht="15.75" customHeight="1" x14ac:dyDescent="0.25">
      <c r="A11" s="83">
        <v>5.1666999999999996</v>
      </c>
      <c r="B11" s="27">
        <v>185.92</v>
      </c>
      <c r="D11" s="83">
        <v>5.1666999999999996</v>
      </c>
      <c r="E11" s="27">
        <v>185.86</v>
      </c>
      <c r="G11" s="83">
        <v>5.25</v>
      </c>
      <c r="H11" s="27">
        <v>225.12</v>
      </c>
    </row>
    <row r="12" spans="1:8" ht="15.75" customHeight="1" x14ac:dyDescent="0.25">
      <c r="A12" s="83">
        <v>5.8125</v>
      </c>
      <c r="B12" s="27">
        <v>94.741</v>
      </c>
      <c r="D12" s="83">
        <v>5.8125</v>
      </c>
      <c r="E12" s="27">
        <v>94.716999999999999</v>
      </c>
      <c r="G12" s="83">
        <v>5.9062999999999999</v>
      </c>
      <c r="H12" s="27">
        <v>146.46</v>
      </c>
    </row>
    <row r="13" spans="1:8" ht="15.75" customHeight="1" x14ac:dyDescent="0.25">
      <c r="A13" s="83">
        <v>6.4583000000000004</v>
      </c>
      <c r="B13" s="27">
        <v>70.286000000000001</v>
      </c>
      <c r="D13" s="83">
        <v>6.4583000000000004</v>
      </c>
      <c r="E13" s="27">
        <v>70.27</v>
      </c>
      <c r="G13" s="83">
        <v>6.5625</v>
      </c>
      <c r="H13" s="27">
        <v>88.192999999999998</v>
      </c>
    </row>
    <row r="14" spans="1:8" ht="15.75" customHeight="1" x14ac:dyDescent="0.25">
      <c r="A14" s="83">
        <v>7.1041999999999996</v>
      </c>
      <c r="B14" s="27">
        <v>69.22</v>
      </c>
      <c r="D14" s="83">
        <v>7.1041999999999996</v>
      </c>
      <c r="E14" s="27">
        <v>69.204999999999998</v>
      </c>
      <c r="G14" s="83">
        <v>7.2187000000000001</v>
      </c>
      <c r="H14" s="27">
        <v>87.07</v>
      </c>
    </row>
    <row r="15" spans="1:8" ht="15.75" customHeight="1" x14ac:dyDescent="0.25">
      <c r="A15" s="83">
        <v>7.75</v>
      </c>
      <c r="B15" s="27">
        <v>68.313999999999993</v>
      </c>
      <c r="D15" s="83">
        <v>7.75</v>
      </c>
      <c r="E15" s="27">
        <v>68.299000000000007</v>
      </c>
      <c r="G15" s="83">
        <v>7.875</v>
      </c>
      <c r="H15" s="27">
        <v>85.007000000000005</v>
      </c>
    </row>
    <row r="16" spans="1:8" ht="15.75" customHeight="1" x14ac:dyDescent="0.25">
      <c r="A16" s="83">
        <v>8.3957999999999995</v>
      </c>
      <c r="B16" s="27">
        <v>67.447999999999993</v>
      </c>
      <c r="D16" s="83">
        <v>8.3957999999999995</v>
      </c>
      <c r="E16" s="27">
        <v>67.433999999999997</v>
      </c>
      <c r="G16" s="83">
        <v>8.5312999999999999</v>
      </c>
      <c r="H16" s="27">
        <v>83.941000000000003</v>
      </c>
    </row>
    <row r="17" spans="1:8" ht="15.75" customHeight="1" x14ac:dyDescent="0.25">
      <c r="A17" s="83">
        <v>9.0417000000000005</v>
      </c>
      <c r="B17" s="27">
        <v>66.590999999999994</v>
      </c>
      <c r="D17" s="83">
        <v>9.0417000000000005</v>
      </c>
      <c r="E17" s="27">
        <v>66.576999999999998</v>
      </c>
      <c r="G17" s="83">
        <v>9.1875</v>
      </c>
      <c r="H17" s="27">
        <v>82.757000000000005</v>
      </c>
    </row>
    <row r="18" spans="1:8" ht="15.75" customHeight="1" x14ac:dyDescent="0.25">
      <c r="A18" s="83">
        <v>9.6875</v>
      </c>
      <c r="B18" s="27">
        <v>65.748999999999995</v>
      </c>
      <c r="D18" s="83">
        <v>9.6875</v>
      </c>
      <c r="E18" s="27">
        <v>65.734999999999999</v>
      </c>
      <c r="G18" s="83">
        <v>9.8437000000000001</v>
      </c>
      <c r="H18" s="27">
        <v>81.590999999999994</v>
      </c>
    </row>
    <row r="19" spans="1:8" ht="15.75" customHeight="1" x14ac:dyDescent="0.25">
      <c r="A19" s="83">
        <v>10.333</v>
      </c>
      <c r="B19" s="27">
        <v>64.902000000000001</v>
      </c>
      <c r="D19" s="83">
        <v>10.333</v>
      </c>
      <c r="E19" s="27">
        <v>64.888000000000005</v>
      </c>
      <c r="G19" s="83">
        <v>10.5</v>
      </c>
      <c r="H19" s="27">
        <v>80.441999999999993</v>
      </c>
    </row>
    <row r="20" spans="1:8" ht="15.75" customHeight="1" x14ac:dyDescent="0.25">
      <c r="A20" s="83">
        <v>10.978999999999999</v>
      </c>
      <c r="B20" s="27">
        <v>64.063999999999993</v>
      </c>
      <c r="D20" s="83">
        <v>10.978999999999999</v>
      </c>
      <c r="E20" s="27">
        <v>64.051000000000002</v>
      </c>
      <c r="G20" s="83">
        <v>11.155999999999999</v>
      </c>
      <c r="H20" s="27">
        <v>79.314999999999998</v>
      </c>
    </row>
    <row r="21" spans="1:8" ht="15.75" customHeight="1" x14ac:dyDescent="0.25">
      <c r="A21" s="83">
        <v>11.625</v>
      </c>
      <c r="B21" s="27">
        <v>63.219000000000001</v>
      </c>
      <c r="D21" s="83">
        <v>11.625</v>
      </c>
      <c r="E21" s="27">
        <v>63.204999999999998</v>
      </c>
      <c r="G21" s="83">
        <v>11.813000000000001</v>
      </c>
      <c r="H21" s="27">
        <v>78.198999999999998</v>
      </c>
    </row>
    <row r="22" spans="1:8" ht="15.75" customHeight="1" x14ac:dyDescent="0.25">
      <c r="A22" s="83">
        <v>12.271000000000001</v>
      </c>
      <c r="B22" s="27">
        <v>62.415999999999997</v>
      </c>
      <c r="D22" s="83">
        <v>12.271000000000001</v>
      </c>
      <c r="E22" s="27">
        <v>62.402999999999999</v>
      </c>
      <c r="G22" s="83">
        <v>12.468999999999999</v>
      </c>
      <c r="H22" s="27">
        <v>77.096000000000004</v>
      </c>
    </row>
    <row r="23" spans="1:8" ht="15.75" customHeight="1" x14ac:dyDescent="0.25">
      <c r="A23" s="83">
        <v>12.917</v>
      </c>
      <c r="B23" s="27">
        <v>61.682000000000002</v>
      </c>
      <c r="D23" s="83">
        <v>12.917</v>
      </c>
      <c r="E23" s="27">
        <v>61.67</v>
      </c>
      <c r="G23" s="83">
        <v>13.125</v>
      </c>
      <c r="H23" s="27">
        <v>76.007999999999996</v>
      </c>
    </row>
    <row r="24" spans="1:8" ht="15.75" customHeight="1" x14ac:dyDescent="0.25">
      <c r="A24" s="83">
        <v>13.561999999999999</v>
      </c>
      <c r="B24" s="27">
        <v>60.957000000000001</v>
      </c>
      <c r="D24" s="83">
        <v>13.561999999999999</v>
      </c>
      <c r="E24" s="27">
        <v>60.945</v>
      </c>
      <c r="G24" s="83">
        <v>13.781000000000001</v>
      </c>
      <c r="H24" s="27">
        <v>74.932000000000002</v>
      </c>
    </row>
    <row r="25" spans="1:8" ht="15.75" customHeight="1" x14ac:dyDescent="0.25">
      <c r="A25" s="83">
        <v>14.208</v>
      </c>
      <c r="B25" s="27">
        <v>60.219000000000001</v>
      </c>
      <c r="D25" s="83">
        <v>14.208</v>
      </c>
      <c r="E25" s="27">
        <v>60.207000000000001</v>
      </c>
      <c r="G25" s="83">
        <v>14.436999999999999</v>
      </c>
      <c r="H25" s="27">
        <v>73.869</v>
      </c>
    </row>
    <row r="26" spans="1:8" ht="15.75" customHeight="1" x14ac:dyDescent="0.25">
      <c r="A26" s="83">
        <v>14.853999999999999</v>
      </c>
      <c r="B26" s="27">
        <v>59.484999999999999</v>
      </c>
      <c r="D26" s="83">
        <v>14.853999999999999</v>
      </c>
      <c r="E26" s="27">
        <v>59.472999999999999</v>
      </c>
      <c r="G26" s="83">
        <v>15.093999999999999</v>
      </c>
      <c r="H26" s="27">
        <v>72.819000000000003</v>
      </c>
    </row>
    <row r="27" spans="1:8" ht="15.75" customHeight="1" x14ac:dyDescent="0.25">
      <c r="A27" s="83">
        <v>15.5</v>
      </c>
      <c r="B27" s="27">
        <v>58.738999999999997</v>
      </c>
      <c r="D27" s="83">
        <v>15.5</v>
      </c>
      <c r="E27" s="27">
        <v>58.726999999999997</v>
      </c>
      <c r="G27" s="83">
        <v>15.75</v>
      </c>
      <c r="H27" s="27">
        <v>71.781000000000006</v>
      </c>
    </row>
    <row r="28" spans="1:8" ht="15.75" customHeight="1" x14ac:dyDescent="0.25">
      <c r="A28" s="83">
        <v>16.146000000000001</v>
      </c>
      <c r="B28" s="27">
        <v>57.997</v>
      </c>
      <c r="D28" s="83">
        <v>16.146000000000001</v>
      </c>
      <c r="E28" s="27">
        <v>57.984999999999999</v>
      </c>
      <c r="G28" s="83">
        <v>16.405999999999999</v>
      </c>
      <c r="H28" s="27">
        <v>70.757999999999996</v>
      </c>
    </row>
    <row r="29" spans="1:8" ht="15.75" customHeight="1" x14ac:dyDescent="0.25">
      <c r="A29" s="83">
        <v>16.792000000000002</v>
      </c>
      <c r="B29" s="27">
        <v>57.363999999999997</v>
      </c>
      <c r="D29" s="83">
        <v>16.792000000000002</v>
      </c>
      <c r="E29" s="27">
        <v>57.353000000000002</v>
      </c>
      <c r="G29" s="83">
        <v>17.062999999999999</v>
      </c>
      <c r="H29" s="27">
        <v>69.826999999999998</v>
      </c>
    </row>
    <row r="30" spans="1:8" ht="15.75" customHeight="1" x14ac:dyDescent="0.25">
      <c r="A30" s="83">
        <v>17.437999999999999</v>
      </c>
      <c r="B30" s="27">
        <v>56.783999999999999</v>
      </c>
      <c r="D30" s="83">
        <v>17.437999999999999</v>
      </c>
      <c r="E30" s="27">
        <v>56.773000000000003</v>
      </c>
      <c r="G30" s="83">
        <v>17.718999999999998</v>
      </c>
      <c r="H30" s="27">
        <v>69.007999999999996</v>
      </c>
    </row>
    <row r="31" spans="1:8" ht="15.75" customHeight="1" x14ac:dyDescent="0.25">
      <c r="A31" s="83">
        <v>18.082999999999998</v>
      </c>
      <c r="B31" s="27">
        <v>56.213000000000001</v>
      </c>
      <c r="D31" s="83">
        <v>18.082999999999998</v>
      </c>
      <c r="E31" s="27">
        <v>56.201999999999998</v>
      </c>
      <c r="G31" s="83">
        <v>18.375</v>
      </c>
      <c r="H31" s="27">
        <v>68.186999999999998</v>
      </c>
    </row>
    <row r="32" spans="1:8" ht="12.5" x14ac:dyDescent="0.25">
      <c r="A32" s="83">
        <v>18.728999999999999</v>
      </c>
      <c r="B32" s="27">
        <v>55.713000000000001</v>
      </c>
      <c r="D32" s="83">
        <v>18.728999999999999</v>
      </c>
      <c r="E32" s="27">
        <v>55.701999999999998</v>
      </c>
      <c r="G32" s="83">
        <v>19.030999999999999</v>
      </c>
      <c r="H32" s="27">
        <v>67.438999999999993</v>
      </c>
    </row>
    <row r="33" spans="1:8" ht="12.5" x14ac:dyDescent="0.25">
      <c r="A33" s="83">
        <v>19.375</v>
      </c>
      <c r="B33" s="27">
        <v>55.252000000000002</v>
      </c>
      <c r="D33" s="83">
        <v>19.375</v>
      </c>
      <c r="E33" s="27">
        <v>55.241999999999997</v>
      </c>
      <c r="G33" s="83">
        <v>19.688000000000002</v>
      </c>
      <c r="H33" s="27">
        <v>66.757999999999996</v>
      </c>
    </row>
    <row r="34" spans="1:8" ht="12.5" x14ac:dyDescent="0.25">
      <c r="A34" s="83">
        <v>20.021000000000001</v>
      </c>
      <c r="B34" s="27">
        <v>54.83</v>
      </c>
      <c r="D34" s="83">
        <v>20.021000000000001</v>
      </c>
      <c r="E34" s="27">
        <v>54.819000000000003</v>
      </c>
      <c r="G34" s="83">
        <v>20.344000000000001</v>
      </c>
      <c r="H34" s="27">
        <v>66.141999999999996</v>
      </c>
    </row>
    <row r="35" spans="1:8" ht="12.5" x14ac:dyDescent="0.25">
      <c r="A35" s="83">
        <v>20.667000000000002</v>
      </c>
      <c r="B35" s="27">
        <v>54.451999999999998</v>
      </c>
      <c r="D35" s="83">
        <v>20.667000000000002</v>
      </c>
      <c r="E35" s="27">
        <v>54.442</v>
      </c>
      <c r="G35" s="83">
        <v>21</v>
      </c>
      <c r="H35" s="27">
        <v>65.593999999999994</v>
      </c>
    </row>
    <row r="36" spans="1:8" ht="12.5" x14ac:dyDescent="0.25">
      <c r="A36" s="83">
        <v>21.312000000000001</v>
      </c>
      <c r="B36" s="27">
        <v>54.12</v>
      </c>
      <c r="D36" s="83">
        <v>21.312000000000001</v>
      </c>
      <c r="E36" s="27">
        <v>54.11</v>
      </c>
      <c r="G36" s="83">
        <v>21.656000000000002</v>
      </c>
      <c r="H36" s="27">
        <v>65.105999999999995</v>
      </c>
    </row>
    <row r="37" spans="1:8" ht="12.5" x14ac:dyDescent="0.25">
      <c r="A37" s="83">
        <v>21.957999999999998</v>
      </c>
      <c r="B37" s="27">
        <v>53.834000000000003</v>
      </c>
      <c r="D37" s="83">
        <v>21.957999999999998</v>
      </c>
      <c r="E37" s="27">
        <v>53.823999999999998</v>
      </c>
      <c r="G37" s="83">
        <v>22.311999999999998</v>
      </c>
      <c r="H37" s="27">
        <v>64.697000000000003</v>
      </c>
    </row>
    <row r="38" spans="1:8" ht="12.5" x14ac:dyDescent="0.25">
      <c r="A38" s="83">
        <v>22.603999999999999</v>
      </c>
      <c r="B38" s="27">
        <v>53.593000000000004</v>
      </c>
      <c r="D38" s="83">
        <v>22.603999999999999</v>
      </c>
      <c r="E38" s="27">
        <v>53.582999999999998</v>
      </c>
      <c r="G38" s="83">
        <v>22.969000000000001</v>
      </c>
      <c r="H38" s="27">
        <v>64.332999999999998</v>
      </c>
    </row>
    <row r="39" spans="1:8" ht="12.5" x14ac:dyDescent="0.25">
      <c r="A39" s="83">
        <v>23.25</v>
      </c>
      <c r="B39" s="27">
        <v>53.393999999999998</v>
      </c>
      <c r="D39" s="83">
        <v>23.25</v>
      </c>
      <c r="E39" s="27">
        <v>53.384</v>
      </c>
      <c r="G39" s="83">
        <v>23.625</v>
      </c>
      <c r="H39" s="27">
        <v>64.05</v>
      </c>
    </row>
    <row r="40" spans="1:8" ht="12.5" x14ac:dyDescent="0.25">
      <c r="A40" s="83">
        <v>23.896000000000001</v>
      </c>
      <c r="B40" s="27">
        <v>53.231999999999999</v>
      </c>
      <c r="D40" s="83">
        <v>23.896000000000001</v>
      </c>
      <c r="E40" s="27">
        <v>53.222000000000001</v>
      </c>
      <c r="G40" s="83">
        <v>24.280999999999999</v>
      </c>
      <c r="H40" s="27">
        <v>63.811999999999998</v>
      </c>
    </row>
    <row r="41" spans="1:8" ht="12.5" x14ac:dyDescent="0.25">
      <c r="A41" s="83">
        <v>24.542000000000002</v>
      </c>
      <c r="B41" s="27">
        <v>53.104999999999997</v>
      </c>
      <c r="D41" s="83">
        <v>24.542000000000002</v>
      </c>
      <c r="E41" s="27">
        <v>53.094999999999999</v>
      </c>
      <c r="G41" s="83">
        <v>24.937999999999999</v>
      </c>
      <c r="H41" s="27">
        <v>63.628</v>
      </c>
    </row>
    <row r="42" spans="1:8" ht="12.5" x14ac:dyDescent="0.25">
      <c r="A42" s="83">
        <v>25.187999999999999</v>
      </c>
      <c r="B42" s="27">
        <v>53.009</v>
      </c>
      <c r="D42" s="83">
        <v>25.187999999999999</v>
      </c>
      <c r="E42" s="27">
        <v>52.999000000000002</v>
      </c>
      <c r="G42" s="83">
        <v>25.593999999999998</v>
      </c>
      <c r="H42" s="27">
        <v>63.484000000000002</v>
      </c>
    </row>
    <row r="43" spans="1:8" ht="12.5" x14ac:dyDescent="0.25">
      <c r="A43" s="83">
        <v>25.832999999999998</v>
      </c>
      <c r="B43" s="27">
        <v>52.938000000000002</v>
      </c>
      <c r="D43" s="83">
        <v>25.832999999999998</v>
      </c>
      <c r="E43" s="27">
        <v>52.929000000000002</v>
      </c>
      <c r="G43" s="83">
        <v>26.25</v>
      </c>
      <c r="H43" s="27">
        <v>63.381999999999998</v>
      </c>
    </row>
    <row r="44" spans="1:8" ht="12.5" x14ac:dyDescent="0.25">
      <c r="A44" s="83">
        <v>26.478999999999999</v>
      </c>
      <c r="B44" s="27">
        <v>52.884</v>
      </c>
      <c r="D44" s="83">
        <v>26.478999999999999</v>
      </c>
      <c r="E44" s="27">
        <v>52.875</v>
      </c>
      <c r="G44" s="83">
        <v>26.905999999999999</v>
      </c>
      <c r="H44" s="27">
        <v>63.308</v>
      </c>
    </row>
    <row r="45" spans="1:8" ht="12.5" x14ac:dyDescent="0.25">
      <c r="A45" s="83">
        <v>27.125</v>
      </c>
      <c r="B45" s="27">
        <v>52.832000000000001</v>
      </c>
      <c r="D45" s="83">
        <v>27.125</v>
      </c>
      <c r="E45" s="27">
        <v>52.822000000000003</v>
      </c>
      <c r="G45" s="83">
        <v>27.563000000000002</v>
      </c>
      <c r="H45" s="27">
        <v>63.243000000000002</v>
      </c>
    </row>
    <row r="46" spans="1:8" ht="12.5" x14ac:dyDescent="0.25">
      <c r="A46" s="83">
        <v>27.771000000000001</v>
      </c>
      <c r="B46" s="27">
        <v>52.786999999999999</v>
      </c>
      <c r="D46" s="83">
        <v>27.771000000000001</v>
      </c>
      <c r="E46" s="27">
        <v>52.777000000000001</v>
      </c>
      <c r="G46" s="83">
        <v>28.219000000000001</v>
      </c>
      <c r="H46" s="27">
        <v>63.188000000000002</v>
      </c>
    </row>
    <row r="47" spans="1:8" ht="12.5" x14ac:dyDescent="0.25">
      <c r="A47" s="83">
        <v>28.417000000000002</v>
      </c>
      <c r="B47" s="27">
        <v>52.750999999999998</v>
      </c>
      <c r="D47" s="83">
        <v>28.417000000000002</v>
      </c>
      <c r="E47" s="27">
        <v>52.741</v>
      </c>
      <c r="G47" s="83">
        <v>28.875</v>
      </c>
      <c r="H47" s="27">
        <v>63.143000000000001</v>
      </c>
    </row>
    <row r="48" spans="1:8" ht="12.5" x14ac:dyDescent="0.25">
      <c r="A48" s="83">
        <v>29.062000000000001</v>
      </c>
      <c r="B48" s="27">
        <v>52.722999999999999</v>
      </c>
      <c r="D48" s="83">
        <v>29.062000000000001</v>
      </c>
      <c r="E48" s="27">
        <v>52.713000000000001</v>
      </c>
      <c r="G48" s="83">
        <v>29.531000000000002</v>
      </c>
      <c r="H48" s="27">
        <v>63.107999999999997</v>
      </c>
    </row>
    <row r="49" spans="1:8" ht="12.5" x14ac:dyDescent="0.25">
      <c r="A49" s="83">
        <v>29.707999999999998</v>
      </c>
      <c r="B49" s="27">
        <v>52.703000000000003</v>
      </c>
      <c r="D49" s="83">
        <v>29.707999999999998</v>
      </c>
      <c r="E49" s="27">
        <v>52.692999999999998</v>
      </c>
      <c r="G49" s="83">
        <v>30.186999999999998</v>
      </c>
      <c r="H49" s="27">
        <v>63.082999999999998</v>
      </c>
    </row>
    <row r="50" spans="1:8" ht="12.5" x14ac:dyDescent="0.25">
      <c r="A50" s="83">
        <v>30.353999999999999</v>
      </c>
      <c r="B50" s="27">
        <v>52.69</v>
      </c>
      <c r="D50" s="83">
        <v>30.353999999999999</v>
      </c>
      <c r="E50" s="27">
        <v>52.680999999999997</v>
      </c>
      <c r="G50" s="83">
        <v>30.844000000000001</v>
      </c>
      <c r="H50" s="27">
        <v>63.067999999999998</v>
      </c>
    </row>
    <row r="51" spans="1:8" ht="12.5" x14ac:dyDescent="0.25">
      <c r="A51" s="84">
        <v>31</v>
      </c>
      <c r="B51" s="56">
        <v>52.685000000000002</v>
      </c>
      <c r="D51" s="84">
        <v>31</v>
      </c>
      <c r="E51" s="56">
        <v>52.676000000000002</v>
      </c>
      <c r="G51" s="84">
        <v>31.5</v>
      </c>
      <c r="H51" s="56">
        <v>63.063000000000002</v>
      </c>
    </row>
  </sheetData>
  <mergeCells count="3">
    <mergeCell ref="A1:B1"/>
    <mergeCell ref="D1:E1"/>
    <mergeCell ref="G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 Calculations</vt:lpstr>
      <vt:lpstr>Heat Break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Abi Chebli</cp:lastModifiedBy>
  <dcterms:modified xsi:type="dcterms:W3CDTF">2025-02-17T11:07:04Z</dcterms:modified>
</cp:coreProperties>
</file>